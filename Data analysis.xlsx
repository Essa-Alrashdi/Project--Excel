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waa\Downloads\"/>
    </mc:Choice>
  </mc:AlternateContent>
  <xr:revisionPtr revIDLastSave="0" documentId="13_ncr:1_{6DE86701-C8EE-44B3-8A14-231331BE9C2B}" xr6:coauthVersionLast="47" xr6:coauthVersionMax="47" xr10:uidLastSave="{00000000-0000-0000-0000-000000000000}"/>
  <bookViews>
    <workbookView xWindow="-120" yWindow="-120" windowWidth="20730" windowHeight="11040" activeTab="2" xr2:uid="{95EC4EDE-9FF2-45E7-9E86-B3798342FD2B}"/>
  </bookViews>
  <sheets>
    <sheet name="Detail1" sheetId="5" r:id="rId1"/>
    <sheet name="Sheet1" sheetId="4" r:id="rId2"/>
    <sheet name="Table2" sheetId="3" r:id="rId3"/>
    <sheet name="Row Data" sheetId="1" r:id="rId4"/>
    <sheet name="Data Analysis" sheetId="2" r:id="rId5"/>
  </sheets>
  <definedNames>
    <definedName name="_xlchart.v1.0" hidden="1">Table2!$G$1:$G$106</definedName>
    <definedName name="_xlchart.v1.1" hidden="1">Table2!$N$1</definedName>
    <definedName name="_xlchart.v1.2" hidden="1">Table2!$N$2:$N$106</definedName>
    <definedName name="ExternalData_1" localSheetId="2" hidden="1">Table2!$A$1:$N$106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72AABD-EC54-442D-BC24-26F7F099CDD4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<sst xmlns="http://schemas.openxmlformats.org/spreadsheetml/2006/main" count="1409" uniqueCount="103">
  <si>
    <t>Order id</t>
  </si>
  <si>
    <t>Date</t>
  </si>
  <si>
    <t>First Name</t>
  </si>
  <si>
    <t>Last Name</t>
  </si>
  <si>
    <t>Gender</t>
  </si>
  <si>
    <t>Age</t>
  </si>
  <si>
    <t>Product</t>
  </si>
  <si>
    <t>Sales Person</t>
  </si>
  <si>
    <t>Category</t>
  </si>
  <si>
    <t>Quantity</t>
  </si>
  <si>
    <t>Price</t>
  </si>
  <si>
    <t>Revenue</t>
  </si>
  <si>
    <t>Discount</t>
  </si>
  <si>
    <t>net Revenue</t>
  </si>
  <si>
    <t>rami</t>
  </si>
  <si>
    <t>kareem</t>
  </si>
  <si>
    <t>male</t>
  </si>
  <si>
    <t>Monitor</t>
  </si>
  <si>
    <t>Omar Hassan</t>
  </si>
  <si>
    <t>Electronics</t>
  </si>
  <si>
    <t>sami</t>
  </si>
  <si>
    <t>saeed</t>
  </si>
  <si>
    <t>femal</t>
  </si>
  <si>
    <t>Laptop</t>
  </si>
  <si>
    <t xml:space="preserve">   omar Hassan</t>
  </si>
  <si>
    <t>radi</t>
  </si>
  <si>
    <t>tamer</t>
  </si>
  <si>
    <t xml:space="preserve">      ahmed ali</t>
  </si>
  <si>
    <t>khame</t>
  </si>
  <si>
    <t xml:space="preserve">samer </t>
  </si>
  <si>
    <t>Keyboard</t>
  </si>
  <si>
    <t xml:space="preserve">   ahmed ali</t>
  </si>
  <si>
    <t>Accessories</t>
  </si>
  <si>
    <t>Mouse</t>
  </si>
  <si>
    <t>ahmed ali</t>
  </si>
  <si>
    <t>Headset</t>
  </si>
  <si>
    <t xml:space="preserve">     Khaled mahmoud</t>
  </si>
  <si>
    <t xml:space="preserve">   omar hassan</t>
  </si>
  <si>
    <t>Ahmed Ali</t>
  </si>
  <si>
    <t/>
  </si>
  <si>
    <t xml:space="preserve">   Ahmed Ali</t>
  </si>
  <si>
    <t>Khaled mahmoud</t>
  </si>
  <si>
    <t xml:space="preserve">  khaled Mahmoud</t>
  </si>
  <si>
    <t>Lina Youssef</t>
  </si>
  <si>
    <t xml:space="preserve">   Omar Hassan</t>
  </si>
  <si>
    <t>Khaled Mahmoud</t>
  </si>
  <si>
    <t>Sara Mohamed</t>
  </si>
  <si>
    <t xml:space="preserve">     Khaled Mahmoud</t>
  </si>
  <si>
    <t>Data Analysis Questions</t>
  </si>
  <si>
    <t>What is the total sales value for each [employee/product]?</t>
  </si>
  <si>
    <t>What are the top-selling products?</t>
  </si>
  <si>
    <t>Sales value by month</t>
  </si>
  <si>
    <t>Quantity sold by each employee per product</t>
  </si>
  <si>
    <t>Sales count by gender</t>
  </si>
  <si>
    <t>What is the total discount value for each discount percentage?</t>
  </si>
  <si>
    <t>Customer name</t>
  </si>
  <si>
    <t>% Discount</t>
  </si>
  <si>
    <t>rami kareem</t>
  </si>
  <si>
    <t>sami saeed</t>
  </si>
  <si>
    <t>radi tamer</t>
  </si>
  <si>
    <t xml:space="preserve">khame samer 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</si>
  <si>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</si>
  <si>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</si>
  <si>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</si>
  <si>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</si>
  <si>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</si>
  <si>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</si>
  <si>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</si>
  <si>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</si>
  <si>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</si>
  <si>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</si>
  <si>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</si>
  <si>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</si>
  <si>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</si>
  <si>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</si>
  <si>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</si>
  <si>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Sum of net Revenue</t>
  </si>
  <si>
    <t>Sum of Quantity</t>
  </si>
  <si>
    <t>Details for Sum of Quantity - Product: Keyboard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</si>
  <si>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</si>
  <si>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</si>
  <si>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</si>
  <si>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</si>
  <si>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</si>
  <si>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</si>
  <si>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</si>
  <si>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</si>
  <si>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</si>
  <si>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</si>
  <si>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</si>
  <si>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Count of Sales Person</t>
  </si>
  <si>
    <t>Column Labels</t>
  </si>
  <si>
    <t>Sum of Discount</t>
  </si>
  <si>
    <t>&lt;0.0001</t>
  </si>
  <si>
    <t>0.0001-0.2001</t>
  </si>
  <si>
    <t>0.2001-0.4001</t>
  </si>
  <si>
    <t>0.4001-0.6001</t>
  </si>
  <si>
    <t>Sales Value by Employee</t>
  </si>
  <si>
    <t>Top Selling Products</t>
  </si>
  <si>
    <t>Sales Percentage by Gender</t>
  </si>
  <si>
    <t>Discount Value by Discount Bracket</t>
  </si>
  <si>
    <t>Sales Value by Month</t>
  </si>
  <si>
    <t>Quantity Sold by Employee per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</si>
</sst>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i/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0" fontId="2" fillId="0" borderId="2" xfId="0" applyFont="1" applyBorder="1" applyAlignment="1">
      <alignment horizontal="centerContinuous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10" fontId="0" fillId="0" borderId="0" xfId="0" applyNumberFormat="1"/>
    <xf numFmtId="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/>
  </cellXfs>
  <cellStyles count="2">
    <cellStyle name="Normal" xfId="0" builtinId="0"/>
    <cellStyle name="Percent" xfId="1" builtinId="5"/>
  </cellStyles>
  <dxfs count="15"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[تحليل البيانات في 15 دقيقة - Copy.xlsx]Sheet1!PivotTable5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40" b="0" i="0" u="none" strike="noStrike" baseline="0"/>
              <a:t>Sales Percentage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Sheet1!$H$3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Sheet1!$G$4:$G$6</c:f>
              <c:strCache>
                <c:ptCount val="2"/>
                <c:pt idx="0">
                  <c:v>femal</c:v>
                </c:pt>
                <c:pt idx="1">
                  <c:v>male</c:v>
                </c:pt>
              </c:strCache>
            </c:strRef>
          </c:cat>
          <c:val>
            <c:numRef>
              <c:f>Sheet1!$H$4:$H$6</c:f>
              <c:numCache>
                <c:formatCode>0.00%</c:formatCode>
                <c:ptCount val="2"/>
                <c:pt idx="0">
                  <c:v>9.0579710144927536E-2</c:v>
                </c:pt>
                <c:pt idx="1">
                  <c:v>0.90942028985507251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4-46D7-AE84-A921D1550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boxWhisker" uniqueId="{00000000-EE75-47A4-8585-22020556411C}">
          <cx:tx>
            <cx:txData>
              <cx:f>_xlchart.v1.1</cx:f>
              <cx:v>% Discount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24</xdr:row>
      <xdr:rowOff>109537</xdr:rowOff>
    </xdr:from>
    <xdr:to>
      <xdr:col>9</xdr:col>
      <xdr:colOff>733425</xdr:colOff>
      <xdr:row>38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2600E5-79FE-E246-1313-617E48CAD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552451</xdr:colOff>
      <xdr:row>17</xdr:row>
      <xdr:rowOff>180975</xdr:rowOff>
    </xdr:from>
    <xdr:to>
      <xdr:col>20</xdr:col>
      <xdr:colOff>9526</xdr:colOff>
      <xdr:row>31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0A15D04-AAFC-4873-9398-59B69F9906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53801" y="3438525"/>
              <a:ext cx="5791200" cy="2571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sa Alrashdi" refreshedDate="46226.980306597223" createdVersion="8" refreshedVersion="8" minRefreshableVersion="3" recordCount="105" xr:uid="{9EDAAC4F-F49D-4B63-AB0F-B0033AA41239}">
  <cacheSource type="worksheet">
    <worksheetSource name="Table2_1"/>
  </cacheSource>
  <cacheFields count="16">
    <cacheField name="Order id" numFmtId="0">
      <sharedItems containsSemiMixedTypes="0" containsString="0" containsNumber="1" containsInteger="1" minValue="450" maxValue="558"/>
    </cacheField>
    <cacheField name="Date" numFmtId="14">
      <sharedItems containsSemiMixedTypes="0" containsNonDate="0" containsDate="1" containsString="0" minDate="2025-01-04T00:00:00" maxDate="2025-11-13T00:00:00" count="83">
        <d v="2025-03-20T00:00:00"/>
        <d v="2025-02-16T00:00:00"/>
        <d v="2025-10-05T00:00:00"/>
        <d v="2025-07-22T00:00:00"/>
        <d v="2025-07-04T00:00:00"/>
        <d v="2025-03-15T00:00:00"/>
        <d v="2025-04-24T00:00:00"/>
        <d v="2025-06-23T00:00:00"/>
        <d v="2025-08-20T00:00:00"/>
        <d v="2025-01-04T00:00:00"/>
        <d v="2025-10-07T00:00:00"/>
        <d v="2025-09-03T00:00:00"/>
        <d v="2025-01-21T00:00:00"/>
        <d v="2025-01-29T00:00:00"/>
        <d v="2025-05-11T00:00:00"/>
        <d v="2025-06-02T00:00:00"/>
        <d v="2025-04-20T00:00:00"/>
        <d v="2025-06-25T00:00:00"/>
        <d v="2025-04-08T00:00:00"/>
        <d v="2025-07-28T00:00:00"/>
        <d v="2025-02-17T00:00:00"/>
        <d v="2025-11-12T00:00:00"/>
        <d v="2025-02-02T00:00:00"/>
        <d v="2025-10-12T00:00:00"/>
        <d v="2025-08-27T00:00:00"/>
        <d v="2025-03-28T00:00:00"/>
        <d v="2025-06-08T00:00:00"/>
        <d v="2025-08-25T00:00:00"/>
        <d v="2025-06-29T00:00:00"/>
        <d v="2025-06-18T00:00:00"/>
        <d v="2025-11-08T00:00:00"/>
        <d v="2025-07-20T00:00:00"/>
        <d v="2025-02-08T00:00:00"/>
        <d v="2025-10-04T00:00:00"/>
        <d v="2025-03-26T00:00:00"/>
        <d v="2025-03-23T00:00:00"/>
        <d v="2025-01-30T00:00:00"/>
        <d v="2025-05-17T00:00:00"/>
        <d v="2025-03-30T00:00:00"/>
        <d v="2025-03-24T00:00:00"/>
        <d v="2025-10-06T00:00:00"/>
        <d v="2025-07-21T00:00:00"/>
        <d v="2025-08-15T00:00:00"/>
        <d v="2025-04-23T00:00:00"/>
        <d v="2025-06-07T00:00:00"/>
        <d v="2025-09-14T00:00:00"/>
        <d v="2025-03-18T00:00:00"/>
        <d v="2025-04-02T00:00:00"/>
        <d v="2025-08-02T00:00:00"/>
        <d v="2025-07-06T00:00:00"/>
        <d v="2025-07-30T00:00:00"/>
        <d v="2025-05-14T00:00:00"/>
        <d v="2025-04-10T00:00:00"/>
        <d v="2025-02-25T00:00:00"/>
        <d v="2025-11-06T00:00:00"/>
        <d v="2025-08-08T00:00:00"/>
        <d v="2025-02-28T00:00:00"/>
        <d v="2025-10-10T00:00:00"/>
        <d v="2025-07-05T00:00:00"/>
        <d v="2025-04-22T00:00:00"/>
        <d v="2025-05-25T00:00:00"/>
        <d v="2025-10-29T00:00:00"/>
        <d v="2025-05-16T00:00:00"/>
        <d v="2025-02-13T00:00:00"/>
        <d v="2025-03-10T00:00:00"/>
        <d v="2025-09-21T00:00:00"/>
        <d v="2025-06-15T00:00:00"/>
        <d v="2025-10-14T00:00:00"/>
        <d v="2025-01-24T00:00:00"/>
        <d v="2025-01-12T00:00:00"/>
        <d v="2025-02-23T00:00:00"/>
        <d v="2025-07-25T00:00:00"/>
        <d v="2025-10-31T00:00:00"/>
        <d v="2025-01-19T00:00:00"/>
        <d v="2025-05-02T00:00:00"/>
        <d v="2025-05-30T00:00:00"/>
        <d v="2025-06-24T00:00:00"/>
        <d v="2025-07-18T00:00:00"/>
        <d v="2025-03-17T00:00:00"/>
        <d v="2025-06-01T00:00:00"/>
        <d v="2025-03-06T00:00:00"/>
        <d v="2025-05-10T00:00:00"/>
        <d v="2025-10-23T00:00:00"/>
      </sharedItems>
      <fieldGroup par="15"/>
    </cacheField>
    <cacheField name="Customer name" numFmtId="0">
      <sharedItems count="4">
        <s v="rami kareem"/>
        <s v="sami saeed"/>
        <s v="radi tamer"/>
        <s v="khame samer "/>
      </sharedItems>
    </cacheField>
    <cacheField name="Gender" numFmtId="0">
      <sharedItems count="2">
        <s v="male"/>
        <s v="femal"/>
      </sharedItems>
    </cacheField>
    <cacheField name="Age" numFmtId="0">
      <sharedItems containsSemiMixedTypes="0" containsString="0" containsNumber="1" containsInteger="1" minValue="20" maxValue="70"/>
    </cacheField>
    <cacheField name="Product" numFmtId="0">
      <sharedItems count="5">
        <s v="Monitor"/>
        <s v="Laptop"/>
        <s v="Keyboard"/>
        <s v="Mouse"/>
        <s v="Headset"/>
      </sharedItems>
    </cacheField>
    <cacheField name="Sales Person" numFmtId="0">
      <sharedItems count="5">
        <s v="Omar Hassan"/>
        <s v="Ahmed Ali"/>
        <s v="Khaled Mahmoud"/>
        <s v="Lina Youssef"/>
        <s v="Sara Mohamed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 count="5">
        <n v="3"/>
        <n v="1"/>
        <n v="2"/>
        <n v="4"/>
        <n v="5"/>
      </sharedItems>
    </cacheField>
    <cacheField name="Price" numFmtId="0">
      <sharedItems containsSemiMixedTypes="0" containsString="0" containsNumber="1" containsInteger="1" minValue="20" maxValue="800"/>
    </cacheField>
    <cacheField name="Revenue" numFmtId="0">
      <sharedItems containsSemiMixedTypes="0" containsString="0" containsNumber="1" containsInteger="1" minValue="20" maxValue="1000"/>
    </cacheField>
    <cacheField name="Discount" numFmtId="0">
      <sharedItems containsSemiMixedTypes="0" containsString="0" containsNumber="1" minValue="0" maxValue="416" count="69">
        <n v="36"/>
        <n v="0"/>
        <n v="56.000000000000007"/>
        <n v="7.1999999999999993"/>
        <n v="4"/>
        <n v="6.3"/>
        <n v="10"/>
        <n v="4.2"/>
        <n v="5.6000000000000005"/>
        <n v="0.4"/>
        <n v="1"/>
        <n v="2"/>
        <n v="1.4000000000000001"/>
        <n v="3"/>
        <n v="5"/>
        <n v="5.3999999999999995"/>
        <n v="14.000000000000002"/>
        <n v="4.8"/>
        <n v="25"/>
        <n v="11.200000000000001"/>
        <n v="13.5"/>
        <n v="20"/>
        <n v="64"/>
        <n v="4.5"/>
        <n v="70"/>
        <n v="24"/>
        <n v="416"/>
        <n v="384"/>
        <n v="90"/>
        <n v="9.8000000000000007"/>
        <n v="7.5"/>
        <n v="1.5"/>
        <n v="12"/>
        <n v="0.8"/>
        <n v="9.4499999999999993"/>
        <n v="2.8000000000000003"/>
        <n v="10.4"/>
        <n v="16"/>
        <n v="176"/>
        <n v="3.5"/>
        <n v="28.000000000000004"/>
        <n v="0.35000000000000003"/>
        <n v="224.00000000000003"/>
        <n v="13.65"/>
        <n v="12.5"/>
        <n v="1.05"/>
        <n v="7.7"/>
        <n v="9"/>
        <n v="2.4"/>
        <n v="54"/>
        <n v="120"/>
        <n v="112.00000000000001"/>
        <n v="30"/>
        <n v="10.500000000000002"/>
        <n v="19.600000000000001"/>
        <n v="110"/>
        <n v="8"/>
        <n v="3.2"/>
        <n v="0.5"/>
        <n v="13"/>
        <n v="0.70000000000000007"/>
        <n v="60"/>
        <n v="48"/>
        <n v="8.4"/>
        <n v="3.15"/>
        <n v="24.500000000000004"/>
        <n v="0.6"/>
        <n v="104"/>
        <n v="2.1"/>
      </sharedItems>
    </cacheField>
    <cacheField name="net Revenue" numFmtId="0">
      <sharedItems containsSemiMixedTypes="0" containsString="0" containsNumber="1" minValue="17" maxValue="930"/>
    </cacheField>
    <cacheField name="% Discount" numFmtId="9">
      <sharedItems containsSemiMixedTypes="0" containsString="0" containsNumber="1" minValue="0" maxValue="0.52" count="24">
        <n v="0.06"/>
        <n v="0"/>
        <n v="0.14000000000000001"/>
        <n v="0.09"/>
        <n v="0.04"/>
        <n v="0.1"/>
        <n v="6.0000000000000005E-2"/>
        <n v="0.01"/>
        <n v="0.02"/>
        <n v="7.0000000000000007E-2"/>
        <n v="0.15"/>
        <n v="0.12000000000000001"/>
        <n v="0.08"/>
        <n v="0.11999999999999998"/>
        <n v="0.03"/>
        <n v="0.52"/>
        <n v="0.48"/>
        <n v="0.05"/>
        <n v="0.12"/>
        <n v="0.13"/>
        <n v="0.22"/>
        <n v="0.28000000000000003"/>
        <n v="3.0000000000000002E-2"/>
        <n v="0.11"/>
      </sharedItems>
      <fieldGroup base="13">
        <rangePr autoStart="0" startNum="1E-4" endNum="0.52" groupInterval="0.2"/>
        <groupItems count="5">
          <s v="&lt;0.0001"/>
          <s v="0.0001-0.2001"/>
          <s v="0.2001-0.4001"/>
          <s v="0.4001-0.6001"/>
          <s v="&gt;0.6001"/>
        </groupItems>
      </fieldGroup>
    </cacheField>
    <cacheField name="Days (Date)" numFmtId="0" databaseField="0">
      <fieldGroup base="1">
        <rangePr groupBy="days" startDate="2025-01-04T00:00:00" endDate="2025-11-13T00:00:00"/>
        <groupItems count="368">
          <s v="&lt;1/4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/13/2025"/>
        </groupItems>
      </fieldGroup>
    </cacheField>
    <cacheField name="Months (Date)" numFmtId="0" databaseField="0">
      <fieldGroup base="1">
        <rangePr groupBy="months" startDate="2025-01-04T00:00:00" endDate="2025-11-13T00:00:00"/>
        <groupItems count="14">
          <s v="&lt;1/4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n v="450"/>
    <x v="0"/>
    <x v="0"/>
    <x v="0"/>
    <n v="53"/>
    <x v="0"/>
    <x v="0"/>
    <s v="Electronics"/>
    <x v="0"/>
    <n v="200"/>
    <n v="600"/>
    <x v="0"/>
    <n v="564"/>
    <x v="0"/>
  </r>
  <r>
    <n v="451"/>
    <x v="1"/>
    <x v="1"/>
    <x v="1"/>
    <n v="37"/>
    <x v="1"/>
    <x v="0"/>
    <s v="Electronics"/>
    <x v="1"/>
    <n v="800"/>
    <n v="800"/>
    <x v="1"/>
    <n v="800"/>
    <x v="1"/>
  </r>
  <r>
    <n v="452"/>
    <x v="2"/>
    <x v="2"/>
    <x v="0"/>
    <n v="55"/>
    <x v="0"/>
    <x v="1"/>
    <s v="Electronics"/>
    <x v="2"/>
    <n v="200"/>
    <n v="400"/>
    <x v="2"/>
    <n v="344"/>
    <x v="2"/>
  </r>
  <r>
    <n v="453"/>
    <x v="3"/>
    <x v="3"/>
    <x v="0"/>
    <n v="65"/>
    <x v="2"/>
    <x v="1"/>
    <s v="Accessories"/>
    <x v="0"/>
    <n v="35"/>
    <n v="105"/>
    <x v="1"/>
    <n v="105"/>
    <x v="1"/>
  </r>
  <r>
    <n v="454"/>
    <x v="4"/>
    <x v="0"/>
    <x v="0"/>
    <n v="41"/>
    <x v="3"/>
    <x v="1"/>
    <s v="Accessories"/>
    <x v="3"/>
    <n v="20"/>
    <n v="80"/>
    <x v="3"/>
    <n v="72.8"/>
    <x v="3"/>
  </r>
  <r>
    <n v="455"/>
    <x v="5"/>
    <x v="1"/>
    <x v="0"/>
    <n v="22"/>
    <x v="4"/>
    <x v="2"/>
    <s v="Accessories"/>
    <x v="2"/>
    <n v="50"/>
    <n v="100"/>
    <x v="4"/>
    <n v="96"/>
    <x v="4"/>
  </r>
  <r>
    <n v="453"/>
    <x v="3"/>
    <x v="3"/>
    <x v="0"/>
    <n v="65"/>
    <x v="2"/>
    <x v="1"/>
    <s v="Accessories"/>
    <x v="0"/>
    <n v="35"/>
    <n v="105"/>
    <x v="5"/>
    <n v="98.7"/>
    <x v="0"/>
  </r>
  <r>
    <n v="456"/>
    <x v="6"/>
    <x v="2"/>
    <x v="1"/>
    <n v="46"/>
    <x v="1"/>
    <x v="0"/>
    <s v="Electronics"/>
    <x v="1"/>
    <n v="800"/>
    <n v="800"/>
    <x v="1"/>
    <n v="800"/>
    <x v="1"/>
  </r>
  <r>
    <n v="457"/>
    <x v="7"/>
    <x v="3"/>
    <x v="0"/>
    <n v="22"/>
    <x v="4"/>
    <x v="1"/>
    <s v="Accessories"/>
    <x v="2"/>
    <n v="50"/>
    <n v="100"/>
    <x v="6"/>
    <n v="90"/>
    <x v="5"/>
  </r>
  <r>
    <n v="458"/>
    <x v="8"/>
    <x v="0"/>
    <x v="0"/>
    <n v="24"/>
    <x v="1"/>
    <x v="1"/>
    <s v="Electronics"/>
    <x v="1"/>
    <n v="800"/>
    <n v="800"/>
    <x v="1"/>
    <n v="800"/>
    <x v="1"/>
  </r>
  <r>
    <n v="460"/>
    <x v="9"/>
    <x v="1"/>
    <x v="0"/>
    <n v="57"/>
    <x v="2"/>
    <x v="1"/>
    <s v="Accessories"/>
    <x v="2"/>
    <n v="35"/>
    <n v="70"/>
    <x v="7"/>
    <n v="65.8"/>
    <x v="6"/>
  </r>
  <r>
    <n v="461"/>
    <x v="10"/>
    <x v="2"/>
    <x v="0"/>
    <n v="41"/>
    <x v="1"/>
    <x v="1"/>
    <s v="Electronics"/>
    <x v="1"/>
    <n v="800"/>
    <n v="800"/>
    <x v="1"/>
    <n v="800"/>
    <x v="1"/>
  </r>
  <r>
    <n v="462"/>
    <x v="11"/>
    <x v="3"/>
    <x v="0"/>
    <n v="57"/>
    <x v="3"/>
    <x v="0"/>
    <s v="Accessories"/>
    <x v="2"/>
    <n v="20"/>
    <n v="40"/>
    <x v="8"/>
    <n v="34.4"/>
    <x v="2"/>
  </r>
  <r>
    <n v="462"/>
    <x v="11"/>
    <x v="3"/>
    <x v="0"/>
    <n v="57"/>
    <x v="3"/>
    <x v="0"/>
    <s v="Accessories"/>
    <x v="2"/>
    <n v="20"/>
    <n v="40"/>
    <x v="9"/>
    <n v="39.6"/>
    <x v="7"/>
  </r>
  <r>
    <n v="463"/>
    <x v="12"/>
    <x v="0"/>
    <x v="0"/>
    <n v="47"/>
    <x v="4"/>
    <x v="1"/>
    <s v="Accessories"/>
    <x v="1"/>
    <n v="50"/>
    <n v="50"/>
    <x v="10"/>
    <n v="49"/>
    <x v="8"/>
  </r>
  <r>
    <n v="464"/>
    <x v="13"/>
    <x v="1"/>
    <x v="0"/>
    <n v="51"/>
    <x v="3"/>
    <x v="1"/>
    <s v="Accessories"/>
    <x v="3"/>
    <n v="20"/>
    <n v="80"/>
    <x v="3"/>
    <n v="72.8"/>
    <x v="3"/>
  </r>
  <r>
    <n v="465"/>
    <x v="14"/>
    <x v="2"/>
    <x v="0"/>
    <n v="55"/>
    <x v="4"/>
    <x v="1"/>
    <s v="Accessories"/>
    <x v="3"/>
    <n v="50"/>
    <n v="200"/>
    <x v="11"/>
    <n v="198"/>
    <x v="7"/>
  </r>
  <r>
    <n v="466"/>
    <x v="15"/>
    <x v="3"/>
    <x v="0"/>
    <n v="30"/>
    <x v="3"/>
    <x v="0"/>
    <s v="Accessories"/>
    <x v="1"/>
    <n v="20"/>
    <n v="20"/>
    <x v="12"/>
    <n v="18.600000000000001"/>
    <x v="9"/>
  </r>
  <r>
    <n v="467"/>
    <x v="16"/>
    <x v="0"/>
    <x v="0"/>
    <n v="30"/>
    <x v="3"/>
    <x v="1"/>
    <s v="Accessories"/>
    <x v="1"/>
    <n v="20"/>
    <n v="20"/>
    <x v="13"/>
    <n v="17"/>
    <x v="10"/>
  </r>
  <r>
    <n v="470"/>
    <x v="17"/>
    <x v="1"/>
    <x v="0"/>
    <n v="20"/>
    <x v="4"/>
    <x v="1"/>
    <s v="Accessories"/>
    <x v="1"/>
    <n v="50"/>
    <n v="50"/>
    <x v="14"/>
    <n v="45"/>
    <x v="5"/>
  </r>
  <r>
    <n v="471"/>
    <x v="18"/>
    <x v="2"/>
    <x v="0"/>
    <n v="27"/>
    <x v="4"/>
    <x v="1"/>
    <s v="Accessories"/>
    <x v="4"/>
    <n v="50"/>
    <n v="250"/>
    <x v="14"/>
    <n v="245"/>
    <x v="8"/>
  </r>
  <r>
    <n v="472"/>
    <x v="19"/>
    <x v="3"/>
    <x v="0"/>
    <n v="38"/>
    <x v="3"/>
    <x v="1"/>
    <s v="Accessories"/>
    <x v="0"/>
    <n v="20"/>
    <n v="60"/>
    <x v="15"/>
    <n v="54.6"/>
    <x v="3"/>
  </r>
  <r>
    <n v="472"/>
    <x v="19"/>
    <x v="3"/>
    <x v="0"/>
    <n v="38"/>
    <x v="3"/>
    <x v="1"/>
    <s v="Accessories"/>
    <x v="0"/>
    <n v="20"/>
    <n v="60"/>
    <x v="7"/>
    <n v="55.8"/>
    <x v="9"/>
  </r>
  <r>
    <n v="473"/>
    <x v="20"/>
    <x v="0"/>
    <x v="1"/>
    <n v="60"/>
    <x v="4"/>
    <x v="0"/>
    <s v="Accessories"/>
    <x v="3"/>
    <n v="50"/>
    <n v="200"/>
    <x v="16"/>
    <n v="186"/>
    <x v="9"/>
  </r>
  <r>
    <n v="474"/>
    <x v="21"/>
    <x v="1"/>
    <x v="0"/>
    <n v="50"/>
    <x v="3"/>
    <x v="1"/>
    <s v="Accessories"/>
    <x v="3"/>
    <n v="20"/>
    <n v="80"/>
    <x v="17"/>
    <n v="75.2"/>
    <x v="0"/>
  </r>
  <r>
    <n v="475"/>
    <x v="22"/>
    <x v="2"/>
    <x v="0"/>
    <n v="67"/>
    <x v="1"/>
    <x v="0"/>
    <s v="Electronics"/>
    <x v="1"/>
    <n v="800"/>
    <n v="800"/>
    <x v="1"/>
    <n v="800"/>
    <x v="1"/>
  </r>
  <r>
    <n v="477"/>
    <x v="23"/>
    <x v="3"/>
    <x v="0"/>
    <n v="38"/>
    <x v="2"/>
    <x v="2"/>
    <s v="Accessories"/>
    <x v="1"/>
    <n v="35"/>
    <n v="35"/>
    <x v="7"/>
    <n v="30.8"/>
    <x v="11"/>
  </r>
  <r>
    <n v="478"/>
    <x v="24"/>
    <x v="0"/>
    <x v="0"/>
    <n v="68"/>
    <x v="4"/>
    <x v="2"/>
    <s v="Accessories"/>
    <x v="4"/>
    <n v="50"/>
    <n v="250"/>
    <x v="18"/>
    <n v="225"/>
    <x v="5"/>
  </r>
  <r>
    <n v="479"/>
    <x v="25"/>
    <x v="1"/>
    <x v="1"/>
    <n v="33"/>
    <x v="2"/>
    <x v="3"/>
    <s v="Accessories"/>
    <x v="3"/>
    <n v="35"/>
    <n v="140"/>
    <x v="19"/>
    <n v="128.80000000000001"/>
    <x v="12"/>
  </r>
  <r>
    <n v="480"/>
    <x v="12"/>
    <x v="2"/>
    <x v="0"/>
    <n v="25"/>
    <x v="4"/>
    <x v="0"/>
    <s v="Accessories"/>
    <x v="0"/>
    <n v="50"/>
    <n v="150"/>
    <x v="20"/>
    <n v="136.5"/>
    <x v="3"/>
  </r>
  <r>
    <n v="481"/>
    <x v="0"/>
    <x v="3"/>
    <x v="0"/>
    <n v="37"/>
    <x v="4"/>
    <x v="1"/>
    <s v="Accessories"/>
    <x v="3"/>
    <n v="50"/>
    <n v="200"/>
    <x v="21"/>
    <n v="180"/>
    <x v="5"/>
  </r>
  <r>
    <n v="482"/>
    <x v="26"/>
    <x v="0"/>
    <x v="0"/>
    <n v="41"/>
    <x v="1"/>
    <x v="0"/>
    <s v="Electronics"/>
    <x v="1"/>
    <n v="800"/>
    <n v="800"/>
    <x v="1"/>
    <n v="800"/>
    <x v="1"/>
  </r>
  <r>
    <n v="483"/>
    <x v="27"/>
    <x v="1"/>
    <x v="0"/>
    <n v="50"/>
    <x v="0"/>
    <x v="1"/>
    <s v="Electronics"/>
    <x v="3"/>
    <n v="200"/>
    <n v="800"/>
    <x v="22"/>
    <n v="736"/>
    <x v="12"/>
  </r>
  <r>
    <n v="484"/>
    <x v="28"/>
    <x v="2"/>
    <x v="0"/>
    <n v="46"/>
    <x v="3"/>
    <x v="0"/>
    <s v="Accessories"/>
    <x v="0"/>
    <n v="20"/>
    <n v="60"/>
    <x v="3"/>
    <n v="52.8"/>
    <x v="13"/>
  </r>
  <r>
    <n v="487"/>
    <x v="29"/>
    <x v="3"/>
    <x v="0"/>
    <n v="51"/>
    <x v="4"/>
    <x v="1"/>
    <s v="Accessories"/>
    <x v="0"/>
    <n v="50"/>
    <n v="150"/>
    <x v="23"/>
    <n v="145.5"/>
    <x v="14"/>
  </r>
  <r>
    <n v="488"/>
    <x v="30"/>
    <x v="0"/>
    <x v="0"/>
    <n v="64"/>
    <x v="0"/>
    <x v="2"/>
    <s v="Electronics"/>
    <x v="4"/>
    <n v="200"/>
    <n v="1000"/>
    <x v="24"/>
    <n v="930"/>
    <x v="9"/>
  </r>
  <r>
    <n v="489"/>
    <x v="31"/>
    <x v="1"/>
    <x v="0"/>
    <n v="68"/>
    <x v="0"/>
    <x v="3"/>
    <s v="Electronics"/>
    <x v="3"/>
    <n v="200"/>
    <n v="800"/>
    <x v="25"/>
    <n v="776"/>
    <x v="14"/>
  </r>
  <r>
    <n v="490"/>
    <x v="32"/>
    <x v="2"/>
    <x v="0"/>
    <n v="52"/>
    <x v="1"/>
    <x v="1"/>
    <s v="Electronics"/>
    <x v="1"/>
    <n v="800"/>
    <n v="800"/>
    <x v="26"/>
    <n v="384"/>
    <x v="15"/>
  </r>
  <r>
    <n v="490"/>
    <x v="32"/>
    <x v="2"/>
    <x v="0"/>
    <n v="52"/>
    <x v="1"/>
    <x v="1"/>
    <s v="Electronics"/>
    <x v="1"/>
    <n v="800"/>
    <n v="800"/>
    <x v="27"/>
    <n v="416"/>
    <x v="16"/>
  </r>
  <r>
    <n v="491"/>
    <x v="33"/>
    <x v="3"/>
    <x v="0"/>
    <n v="65"/>
    <x v="0"/>
    <x v="0"/>
    <s v="Electronics"/>
    <x v="0"/>
    <n v="200"/>
    <n v="600"/>
    <x v="28"/>
    <n v="510"/>
    <x v="10"/>
  </r>
  <r>
    <n v="492"/>
    <x v="34"/>
    <x v="0"/>
    <x v="0"/>
    <n v="31"/>
    <x v="2"/>
    <x v="3"/>
    <s v="Accessories"/>
    <x v="2"/>
    <n v="35"/>
    <n v="70"/>
    <x v="29"/>
    <n v="60.2"/>
    <x v="2"/>
  </r>
  <r>
    <n v="493"/>
    <x v="35"/>
    <x v="1"/>
    <x v="0"/>
    <n v="57"/>
    <x v="3"/>
    <x v="3"/>
    <s v="Accessories"/>
    <x v="4"/>
    <n v="20"/>
    <n v="100"/>
    <x v="11"/>
    <n v="98"/>
    <x v="8"/>
  </r>
  <r>
    <n v="494"/>
    <x v="36"/>
    <x v="2"/>
    <x v="0"/>
    <n v="41"/>
    <x v="4"/>
    <x v="4"/>
    <s v="Accessories"/>
    <x v="0"/>
    <n v="50"/>
    <n v="150"/>
    <x v="30"/>
    <n v="142.5"/>
    <x v="17"/>
  </r>
  <r>
    <n v="495"/>
    <x v="37"/>
    <x v="3"/>
    <x v="1"/>
    <n v="48"/>
    <x v="4"/>
    <x v="0"/>
    <s v="Accessories"/>
    <x v="0"/>
    <n v="50"/>
    <n v="150"/>
    <x v="31"/>
    <n v="148.5"/>
    <x v="7"/>
  </r>
  <r>
    <n v="496"/>
    <x v="38"/>
    <x v="0"/>
    <x v="0"/>
    <n v="29"/>
    <x v="3"/>
    <x v="1"/>
    <s v="Accessories"/>
    <x v="2"/>
    <n v="20"/>
    <n v="40"/>
    <x v="17"/>
    <n v="35.200000000000003"/>
    <x v="18"/>
  </r>
  <r>
    <n v="497"/>
    <x v="39"/>
    <x v="1"/>
    <x v="0"/>
    <n v="67"/>
    <x v="0"/>
    <x v="2"/>
    <s v="Electronics"/>
    <x v="2"/>
    <n v="200"/>
    <n v="400"/>
    <x v="32"/>
    <n v="388"/>
    <x v="14"/>
  </r>
  <r>
    <n v="498"/>
    <x v="13"/>
    <x v="2"/>
    <x v="0"/>
    <n v="70"/>
    <x v="3"/>
    <x v="2"/>
    <s v="Accessories"/>
    <x v="1"/>
    <n v="20"/>
    <n v="20"/>
    <x v="10"/>
    <n v="19"/>
    <x v="17"/>
  </r>
  <r>
    <n v="499"/>
    <x v="40"/>
    <x v="3"/>
    <x v="0"/>
    <n v="44"/>
    <x v="3"/>
    <x v="1"/>
    <s v="Accessories"/>
    <x v="1"/>
    <n v="20"/>
    <n v="20"/>
    <x v="33"/>
    <n v="19.2"/>
    <x v="4"/>
  </r>
  <r>
    <n v="500"/>
    <x v="41"/>
    <x v="0"/>
    <x v="1"/>
    <n v="33"/>
    <x v="2"/>
    <x v="3"/>
    <s v="Accessories"/>
    <x v="0"/>
    <n v="35"/>
    <n v="105"/>
    <x v="34"/>
    <n v="95.55"/>
    <x v="3"/>
  </r>
  <r>
    <n v="501"/>
    <x v="18"/>
    <x v="1"/>
    <x v="0"/>
    <n v="30"/>
    <x v="2"/>
    <x v="1"/>
    <s v="Accessories"/>
    <x v="1"/>
    <n v="35"/>
    <n v="35"/>
    <x v="35"/>
    <n v="32.200000000000003"/>
    <x v="12"/>
  </r>
  <r>
    <n v="502"/>
    <x v="42"/>
    <x v="2"/>
    <x v="0"/>
    <n v="60"/>
    <x v="3"/>
    <x v="0"/>
    <s v="Accessories"/>
    <x v="3"/>
    <n v="20"/>
    <n v="80"/>
    <x v="36"/>
    <n v="69.599999999999994"/>
    <x v="19"/>
  </r>
  <r>
    <n v="503"/>
    <x v="43"/>
    <x v="3"/>
    <x v="0"/>
    <n v="55"/>
    <x v="0"/>
    <x v="1"/>
    <s v="Electronics"/>
    <x v="1"/>
    <n v="200"/>
    <n v="200"/>
    <x v="4"/>
    <n v="196"/>
    <x v="8"/>
  </r>
  <r>
    <n v="504"/>
    <x v="11"/>
    <x v="0"/>
    <x v="0"/>
    <n v="42"/>
    <x v="0"/>
    <x v="1"/>
    <s v="Electronics"/>
    <x v="3"/>
    <n v="200"/>
    <n v="800"/>
    <x v="37"/>
    <n v="784"/>
    <x v="8"/>
  </r>
  <r>
    <n v="505"/>
    <x v="44"/>
    <x v="1"/>
    <x v="0"/>
    <n v="28"/>
    <x v="1"/>
    <x v="1"/>
    <s v="Electronics"/>
    <x v="1"/>
    <n v="800"/>
    <n v="800"/>
    <x v="38"/>
    <n v="624"/>
    <x v="20"/>
  </r>
  <r>
    <n v="506"/>
    <x v="45"/>
    <x v="2"/>
    <x v="0"/>
    <n v="52"/>
    <x v="2"/>
    <x v="3"/>
    <s v="Accessories"/>
    <x v="2"/>
    <n v="35"/>
    <n v="70"/>
    <x v="39"/>
    <n v="66.5"/>
    <x v="17"/>
  </r>
  <r>
    <n v="507"/>
    <x v="46"/>
    <x v="3"/>
    <x v="0"/>
    <n v="47"/>
    <x v="4"/>
    <x v="2"/>
    <s v="Accessories"/>
    <x v="3"/>
    <n v="50"/>
    <n v="200"/>
    <x v="40"/>
    <n v="172"/>
    <x v="2"/>
  </r>
  <r>
    <n v="508"/>
    <x v="47"/>
    <x v="0"/>
    <x v="0"/>
    <n v="67"/>
    <x v="2"/>
    <x v="4"/>
    <s v="Accessories"/>
    <x v="1"/>
    <n v="35"/>
    <n v="35"/>
    <x v="41"/>
    <n v="34.65"/>
    <x v="7"/>
  </r>
  <r>
    <n v="509"/>
    <x v="48"/>
    <x v="1"/>
    <x v="0"/>
    <n v="65"/>
    <x v="1"/>
    <x v="4"/>
    <s v="Electronics"/>
    <x v="1"/>
    <n v="800"/>
    <n v="800"/>
    <x v="42"/>
    <n v="576"/>
    <x v="21"/>
  </r>
  <r>
    <n v="510"/>
    <x v="49"/>
    <x v="2"/>
    <x v="0"/>
    <n v="29"/>
    <x v="2"/>
    <x v="2"/>
    <s v="Accessories"/>
    <x v="0"/>
    <n v="35"/>
    <n v="105"/>
    <x v="43"/>
    <n v="91.35"/>
    <x v="19"/>
  </r>
  <r>
    <n v="511"/>
    <x v="50"/>
    <x v="3"/>
    <x v="0"/>
    <n v="34"/>
    <x v="4"/>
    <x v="4"/>
    <s v="Accessories"/>
    <x v="3"/>
    <n v="50"/>
    <n v="200"/>
    <x v="11"/>
    <n v="198"/>
    <x v="7"/>
  </r>
  <r>
    <n v="512"/>
    <x v="51"/>
    <x v="0"/>
    <x v="0"/>
    <n v="67"/>
    <x v="4"/>
    <x v="4"/>
    <s v="Accessories"/>
    <x v="4"/>
    <n v="50"/>
    <n v="250"/>
    <x v="44"/>
    <n v="237.5"/>
    <x v="17"/>
  </r>
  <r>
    <n v="512"/>
    <x v="51"/>
    <x v="0"/>
    <x v="0"/>
    <n v="67"/>
    <x v="4"/>
    <x v="4"/>
    <s v="Accessories"/>
    <x v="4"/>
    <n v="50"/>
    <n v="250"/>
    <x v="6"/>
    <n v="240"/>
    <x v="4"/>
  </r>
  <r>
    <n v="513"/>
    <x v="52"/>
    <x v="1"/>
    <x v="0"/>
    <n v="70"/>
    <x v="2"/>
    <x v="1"/>
    <s v="Accessories"/>
    <x v="1"/>
    <n v="35"/>
    <n v="35"/>
    <x v="7"/>
    <n v="30.8"/>
    <x v="11"/>
  </r>
  <r>
    <n v="514"/>
    <x v="53"/>
    <x v="2"/>
    <x v="1"/>
    <n v="54"/>
    <x v="0"/>
    <x v="1"/>
    <s v="Electronics"/>
    <x v="1"/>
    <n v="200"/>
    <n v="200"/>
    <x v="6"/>
    <n v="190"/>
    <x v="17"/>
  </r>
  <r>
    <n v="515"/>
    <x v="54"/>
    <x v="3"/>
    <x v="0"/>
    <n v="25"/>
    <x v="2"/>
    <x v="2"/>
    <s v="Accessories"/>
    <x v="1"/>
    <n v="35"/>
    <n v="35"/>
    <x v="45"/>
    <n v="33.950000000000003"/>
    <x v="22"/>
  </r>
  <r>
    <n v="516"/>
    <x v="55"/>
    <x v="0"/>
    <x v="0"/>
    <n v="35"/>
    <x v="2"/>
    <x v="3"/>
    <s v="Accessories"/>
    <x v="2"/>
    <n v="35"/>
    <n v="70"/>
    <x v="46"/>
    <n v="62.3"/>
    <x v="23"/>
  </r>
  <r>
    <n v="517"/>
    <x v="56"/>
    <x v="1"/>
    <x v="0"/>
    <n v="40"/>
    <x v="4"/>
    <x v="3"/>
    <s v="Accessories"/>
    <x v="2"/>
    <n v="50"/>
    <n v="100"/>
    <x v="47"/>
    <n v="91"/>
    <x v="3"/>
  </r>
  <r>
    <n v="518"/>
    <x v="17"/>
    <x v="2"/>
    <x v="0"/>
    <n v="28"/>
    <x v="3"/>
    <x v="0"/>
    <s v="Accessories"/>
    <x v="2"/>
    <n v="20"/>
    <n v="40"/>
    <x v="48"/>
    <n v="37.6"/>
    <x v="0"/>
  </r>
  <r>
    <n v="519"/>
    <x v="57"/>
    <x v="3"/>
    <x v="1"/>
    <n v="47"/>
    <x v="0"/>
    <x v="1"/>
    <s v="Electronics"/>
    <x v="0"/>
    <n v="200"/>
    <n v="600"/>
    <x v="49"/>
    <n v="546"/>
    <x v="3"/>
  </r>
  <r>
    <n v="520"/>
    <x v="58"/>
    <x v="0"/>
    <x v="0"/>
    <n v="62"/>
    <x v="1"/>
    <x v="1"/>
    <s v="Electronics"/>
    <x v="1"/>
    <n v="800"/>
    <n v="800"/>
    <x v="50"/>
    <n v="680"/>
    <x v="10"/>
  </r>
  <r>
    <n v="522"/>
    <x v="59"/>
    <x v="1"/>
    <x v="0"/>
    <n v="46"/>
    <x v="4"/>
    <x v="2"/>
    <s v="Accessories"/>
    <x v="3"/>
    <n v="50"/>
    <n v="200"/>
    <x v="21"/>
    <n v="180"/>
    <x v="5"/>
  </r>
  <r>
    <n v="523"/>
    <x v="60"/>
    <x v="2"/>
    <x v="0"/>
    <n v="32"/>
    <x v="0"/>
    <x v="0"/>
    <s v="Electronics"/>
    <x v="3"/>
    <n v="200"/>
    <n v="800"/>
    <x v="51"/>
    <n v="688"/>
    <x v="2"/>
  </r>
  <r>
    <n v="524"/>
    <x v="61"/>
    <x v="3"/>
    <x v="0"/>
    <n v="20"/>
    <x v="0"/>
    <x v="2"/>
    <s v="Electronics"/>
    <x v="0"/>
    <n v="200"/>
    <n v="600"/>
    <x v="52"/>
    <n v="570"/>
    <x v="17"/>
  </r>
  <r>
    <n v="525"/>
    <x v="62"/>
    <x v="0"/>
    <x v="0"/>
    <n v="25"/>
    <x v="4"/>
    <x v="2"/>
    <s v="Accessories"/>
    <x v="0"/>
    <n v="50"/>
    <n v="150"/>
    <x v="53"/>
    <n v="139.5"/>
    <x v="9"/>
  </r>
  <r>
    <n v="526"/>
    <x v="63"/>
    <x v="1"/>
    <x v="0"/>
    <n v="45"/>
    <x v="4"/>
    <x v="3"/>
    <s v="Accessories"/>
    <x v="2"/>
    <n v="50"/>
    <n v="100"/>
    <x v="6"/>
    <n v="90"/>
    <x v="5"/>
  </r>
  <r>
    <n v="527"/>
    <x v="64"/>
    <x v="2"/>
    <x v="0"/>
    <n v="70"/>
    <x v="2"/>
    <x v="1"/>
    <s v="Accessories"/>
    <x v="4"/>
    <n v="35"/>
    <n v="175"/>
    <x v="1"/>
    <n v="175"/>
    <x v="1"/>
  </r>
  <r>
    <n v="528"/>
    <x v="61"/>
    <x v="3"/>
    <x v="0"/>
    <n v="42"/>
    <x v="0"/>
    <x v="0"/>
    <s v="Electronics"/>
    <x v="2"/>
    <n v="200"/>
    <n v="400"/>
    <x v="32"/>
    <n v="388"/>
    <x v="14"/>
  </r>
  <r>
    <n v="529"/>
    <x v="65"/>
    <x v="0"/>
    <x v="0"/>
    <n v="46"/>
    <x v="3"/>
    <x v="1"/>
    <s v="Accessories"/>
    <x v="2"/>
    <n v="20"/>
    <n v="40"/>
    <x v="48"/>
    <n v="37.6"/>
    <x v="0"/>
  </r>
  <r>
    <n v="530"/>
    <x v="66"/>
    <x v="1"/>
    <x v="0"/>
    <n v="43"/>
    <x v="2"/>
    <x v="1"/>
    <s v="Accessories"/>
    <x v="3"/>
    <n v="35"/>
    <n v="140"/>
    <x v="54"/>
    <n v="120.4"/>
    <x v="2"/>
  </r>
  <r>
    <n v="531"/>
    <x v="67"/>
    <x v="2"/>
    <x v="0"/>
    <n v="55"/>
    <x v="3"/>
    <x v="4"/>
    <s v="Accessories"/>
    <x v="3"/>
    <n v="20"/>
    <n v="80"/>
    <x v="4"/>
    <n v="76"/>
    <x v="17"/>
  </r>
  <r>
    <n v="532"/>
    <x v="68"/>
    <x v="3"/>
    <x v="0"/>
    <n v="22"/>
    <x v="0"/>
    <x v="1"/>
    <s v="Electronics"/>
    <x v="4"/>
    <n v="200"/>
    <n v="1000"/>
    <x v="55"/>
    <n v="890"/>
    <x v="23"/>
  </r>
  <r>
    <n v="534"/>
    <x v="69"/>
    <x v="0"/>
    <x v="0"/>
    <n v="33"/>
    <x v="1"/>
    <x v="1"/>
    <s v="Electronics"/>
    <x v="1"/>
    <n v="800"/>
    <n v="800"/>
    <x v="42"/>
    <n v="576"/>
    <x v="21"/>
  </r>
  <r>
    <n v="535"/>
    <x v="70"/>
    <x v="1"/>
    <x v="1"/>
    <n v="32"/>
    <x v="0"/>
    <x v="4"/>
    <s v="Electronics"/>
    <x v="1"/>
    <n v="200"/>
    <n v="200"/>
    <x v="11"/>
    <n v="198"/>
    <x v="7"/>
  </r>
  <r>
    <n v="536"/>
    <x v="69"/>
    <x v="2"/>
    <x v="0"/>
    <n v="41"/>
    <x v="3"/>
    <x v="1"/>
    <s v="Accessories"/>
    <x v="3"/>
    <n v="20"/>
    <n v="80"/>
    <x v="56"/>
    <n v="72"/>
    <x v="5"/>
  </r>
  <r>
    <n v="537"/>
    <x v="71"/>
    <x v="3"/>
    <x v="0"/>
    <n v="43"/>
    <x v="3"/>
    <x v="1"/>
    <s v="Accessories"/>
    <x v="3"/>
    <n v="20"/>
    <n v="80"/>
    <x v="57"/>
    <n v="76.8"/>
    <x v="4"/>
  </r>
  <r>
    <n v="538"/>
    <x v="72"/>
    <x v="0"/>
    <x v="0"/>
    <n v="25"/>
    <x v="4"/>
    <x v="1"/>
    <s v="Accessories"/>
    <x v="1"/>
    <n v="50"/>
    <n v="50"/>
    <x v="58"/>
    <n v="49.5"/>
    <x v="7"/>
  </r>
  <r>
    <n v="539"/>
    <x v="12"/>
    <x v="1"/>
    <x v="0"/>
    <n v="60"/>
    <x v="3"/>
    <x v="2"/>
    <s v="Accessories"/>
    <x v="4"/>
    <n v="20"/>
    <n v="100"/>
    <x v="59"/>
    <n v="87"/>
    <x v="19"/>
  </r>
  <r>
    <n v="540"/>
    <x v="73"/>
    <x v="2"/>
    <x v="1"/>
    <n v="47"/>
    <x v="4"/>
    <x v="1"/>
    <s v="Accessories"/>
    <x v="0"/>
    <n v="50"/>
    <n v="150"/>
    <x v="47"/>
    <n v="141"/>
    <x v="0"/>
  </r>
  <r>
    <n v="541"/>
    <x v="74"/>
    <x v="3"/>
    <x v="0"/>
    <n v="26"/>
    <x v="4"/>
    <x v="0"/>
    <s v="Accessories"/>
    <x v="3"/>
    <n v="50"/>
    <n v="200"/>
    <x v="25"/>
    <n v="176"/>
    <x v="18"/>
  </r>
  <r>
    <n v="542"/>
    <x v="75"/>
    <x v="0"/>
    <x v="0"/>
    <n v="45"/>
    <x v="2"/>
    <x v="1"/>
    <s v="Accessories"/>
    <x v="1"/>
    <n v="35"/>
    <n v="35"/>
    <x v="60"/>
    <n v="34.299999999999997"/>
    <x v="8"/>
  </r>
  <r>
    <n v="543"/>
    <x v="60"/>
    <x v="1"/>
    <x v="0"/>
    <n v="38"/>
    <x v="1"/>
    <x v="1"/>
    <s v="Electronics"/>
    <x v="1"/>
    <n v="800"/>
    <n v="800"/>
    <x v="51"/>
    <n v="688"/>
    <x v="2"/>
  </r>
  <r>
    <n v="544"/>
    <x v="26"/>
    <x v="2"/>
    <x v="0"/>
    <n v="70"/>
    <x v="2"/>
    <x v="3"/>
    <s v="Accessories"/>
    <x v="4"/>
    <n v="35"/>
    <n v="175"/>
    <x v="39"/>
    <n v="171.5"/>
    <x v="8"/>
  </r>
  <r>
    <n v="545"/>
    <x v="69"/>
    <x v="3"/>
    <x v="0"/>
    <n v="52"/>
    <x v="0"/>
    <x v="3"/>
    <s v="Electronics"/>
    <x v="2"/>
    <n v="200"/>
    <n v="400"/>
    <x v="61"/>
    <n v="340"/>
    <x v="10"/>
  </r>
  <r>
    <n v="547"/>
    <x v="22"/>
    <x v="0"/>
    <x v="0"/>
    <n v="48"/>
    <x v="0"/>
    <x v="4"/>
    <s v="Electronics"/>
    <x v="2"/>
    <n v="200"/>
    <n v="400"/>
    <x v="62"/>
    <n v="352"/>
    <x v="18"/>
  </r>
  <r>
    <n v="548"/>
    <x v="76"/>
    <x v="1"/>
    <x v="0"/>
    <n v="64"/>
    <x v="2"/>
    <x v="3"/>
    <s v="Accessories"/>
    <x v="0"/>
    <n v="35"/>
    <n v="105"/>
    <x v="63"/>
    <n v="96.6"/>
    <x v="12"/>
  </r>
  <r>
    <n v="549"/>
    <x v="77"/>
    <x v="2"/>
    <x v="0"/>
    <n v="53"/>
    <x v="2"/>
    <x v="1"/>
    <s v="Accessories"/>
    <x v="0"/>
    <n v="35"/>
    <n v="105"/>
    <x v="64"/>
    <n v="101.85"/>
    <x v="14"/>
  </r>
  <r>
    <n v="550"/>
    <x v="20"/>
    <x v="3"/>
    <x v="0"/>
    <n v="69"/>
    <x v="2"/>
    <x v="3"/>
    <s v="Accessories"/>
    <x v="4"/>
    <n v="35"/>
    <n v="175"/>
    <x v="65"/>
    <n v="150.5"/>
    <x v="2"/>
  </r>
  <r>
    <n v="551"/>
    <x v="78"/>
    <x v="0"/>
    <x v="0"/>
    <n v="55"/>
    <x v="3"/>
    <x v="1"/>
    <s v="Accessories"/>
    <x v="0"/>
    <n v="20"/>
    <n v="60"/>
    <x v="66"/>
    <n v="59.4"/>
    <x v="7"/>
  </r>
  <r>
    <n v="552"/>
    <x v="79"/>
    <x v="1"/>
    <x v="0"/>
    <n v="52"/>
    <x v="1"/>
    <x v="2"/>
    <s v="Electronics"/>
    <x v="1"/>
    <n v="800"/>
    <n v="800"/>
    <x v="62"/>
    <n v="752"/>
    <x v="0"/>
  </r>
  <r>
    <n v="553"/>
    <x v="76"/>
    <x v="2"/>
    <x v="0"/>
    <n v="23"/>
    <x v="0"/>
    <x v="1"/>
    <s v="Electronics"/>
    <x v="2"/>
    <n v="200"/>
    <n v="400"/>
    <x v="0"/>
    <n v="364"/>
    <x v="3"/>
  </r>
  <r>
    <n v="554"/>
    <x v="79"/>
    <x v="3"/>
    <x v="0"/>
    <n v="33"/>
    <x v="0"/>
    <x v="0"/>
    <s v="Electronics"/>
    <x v="1"/>
    <n v="200"/>
    <n v="200"/>
    <x v="6"/>
    <n v="190"/>
    <x v="17"/>
  </r>
  <r>
    <n v="555"/>
    <x v="80"/>
    <x v="0"/>
    <x v="1"/>
    <n v="58"/>
    <x v="1"/>
    <x v="0"/>
    <s v="Electronics"/>
    <x v="1"/>
    <n v="800"/>
    <n v="800"/>
    <x v="67"/>
    <n v="696"/>
    <x v="19"/>
  </r>
  <r>
    <n v="556"/>
    <x v="81"/>
    <x v="1"/>
    <x v="0"/>
    <n v="41"/>
    <x v="2"/>
    <x v="4"/>
    <s v="Accessories"/>
    <x v="0"/>
    <n v="35"/>
    <n v="105"/>
    <x v="68"/>
    <n v="102.9"/>
    <x v="8"/>
  </r>
  <r>
    <n v="557"/>
    <x v="82"/>
    <x v="2"/>
    <x v="0"/>
    <n v="67"/>
    <x v="3"/>
    <x v="2"/>
    <s v="Accessories"/>
    <x v="3"/>
    <n v="20"/>
    <n v="80"/>
    <x v="36"/>
    <n v="69.599999999999994"/>
    <x v="19"/>
  </r>
  <r>
    <n v="558"/>
    <x v="62"/>
    <x v="3"/>
    <x v="0"/>
    <n v="22"/>
    <x v="0"/>
    <x v="2"/>
    <s v="Electronics"/>
    <x v="3"/>
    <n v="200"/>
    <n v="800"/>
    <x v="25"/>
    <n v="776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DD7DA-E81E-47D0-BC63-F0CCC938EF16}" name="PivotTable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G3:H6" firstHeaderRow="1" firstDataRow="1" firstDataCol="1"/>
  <pivotFields count="16">
    <pivotField showAll="0"/>
    <pivotField numFmtId="14" showAll="0">
      <items count="84">
        <item x="9"/>
        <item x="69"/>
        <item x="73"/>
        <item x="12"/>
        <item x="68"/>
        <item x="13"/>
        <item x="36"/>
        <item x="22"/>
        <item x="32"/>
        <item x="63"/>
        <item x="1"/>
        <item x="20"/>
        <item x="70"/>
        <item x="53"/>
        <item x="56"/>
        <item x="80"/>
        <item x="64"/>
        <item x="5"/>
        <item x="78"/>
        <item x="46"/>
        <item x="0"/>
        <item x="35"/>
        <item x="39"/>
        <item x="34"/>
        <item x="25"/>
        <item x="38"/>
        <item x="47"/>
        <item x="18"/>
        <item x="52"/>
        <item x="16"/>
        <item x="59"/>
        <item x="43"/>
        <item x="6"/>
        <item x="74"/>
        <item x="81"/>
        <item x="14"/>
        <item x="51"/>
        <item x="62"/>
        <item x="37"/>
        <item x="60"/>
        <item x="75"/>
        <item x="79"/>
        <item x="15"/>
        <item x="44"/>
        <item x="26"/>
        <item x="66"/>
        <item x="29"/>
        <item x="7"/>
        <item x="76"/>
        <item x="17"/>
        <item x="28"/>
        <item x="4"/>
        <item x="58"/>
        <item x="49"/>
        <item x="77"/>
        <item x="31"/>
        <item x="41"/>
        <item x="3"/>
        <item x="71"/>
        <item x="19"/>
        <item x="50"/>
        <item x="48"/>
        <item x="55"/>
        <item x="42"/>
        <item x="8"/>
        <item x="27"/>
        <item x="24"/>
        <item x="11"/>
        <item x="45"/>
        <item x="65"/>
        <item x="33"/>
        <item x="2"/>
        <item x="40"/>
        <item x="10"/>
        <item x="57"/>
        <item x="23"/>
        <item x="67"/>
        <item x="82"/>
        <item x="61"/>
        <item x="72"/>
        <item x="54"/>
        <item x="30"/>
        <item x="2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9" showAll="0">
      <items count="6">
        <item x="0"/>
        <item x="1"/>
        <item x="2"/>
        <item x="3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Quantity" fld="8" showDataAs="percentOfTotal" baseField="0" baseItem="0" numFmtId="10"/>
  </dataFields>
  <formats count="2">
    <format dxfId="9">
      <pivotArea outline="0" collapsedLevelsAreSubtotals="1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DFD29-DD15-4AA1-979B-6F5B441FCA8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J20" firstHeaderRow="1" firstDataRow="2" firstDataCol="1"/>
  <pivotFields count="16">
    <pivotField showAll="0"/>
    <pivotField numFmtId="14" showAll="0">
      <items count="84">
        <item x="9"/>
        <item x="69"/>
        <item x="73"/>
        <item x="12"/>
        <item x="68"/>
        <item x="13"/>
        <item x="36"/>
        <item x="22"/>
        <item x="32"/>
        <item x="63"/>
        <item x="1"/>
        <item x="20"/>
        <item x="70"/>
        <item x="53"/>
        <item x="56"/>
        <item x="80"/>
        <item x="64"/>
        <item x="5"/>
        <item x="78"/>
        <item x="46"/>
        <item x="0"/>
        <item x="35"/>
        <item x="39"/>
        <item x="34"/>
        <item x="25"/>
        <item x="38"/>
        <item x="47"/>
        <item x="18"/>
        <item x="52"/>
        <item x="16"/>
        <item x="59"/>
        <item x="43"/>
        <item x="6"/>
        <item x="74"/>
        <item x="81"/>
        <item x="14"/>
        <item x="51"/>
        <item x="62"/>
        <item x="37"/>
        <item x="60"/>
        <item x="75"/>
        <item x="79"/>
        <item x="15"/>
        <item x="44"/>
        <item x="26"/>
        <item x="66"/>
        <item x="29"/>
        <item x="7"/>
        <item x="76"/>
        <item x="17"/>
        <item x="28"/>
        <item x="4"/>
        <item x="58"/>
        <item x="49"/>
        <item x="77"/>
        <item x="31"/>
        <item x="41"/>
        <item x="3"/>
        <item x="71"/>
        <item x="19"/>
        <item x="50"/>
        <item x="48"/>
        <item x="55"/>
        <item x="42"/>
        <item x="8"/>
        <item x="27"/>
        <item x="24"/>
        <item x="11"/>
        <item x="45"/>
        <item x="65"/>
        <item x="33"/>
        <item x="2"/>
        <item x="40"/>
        <item x="10"/>
        <item x="57"/>
        <item x="23"/>
        <item x="67"/>
        <item x="82"/>
        <item x="61"/>
        <item x="72"/>
        <item x="54"/>
        <item x="30"/>
        <item x="2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axis="axisCol" showAll="0">
      <items count="6">
        <item x="4"/>
        <item x="2"/>
        <item x="1"/>
        <item x="0"/>
        <item x="3"/>
        <item t="default"/>
      </items>
    </pivotField>
    <pivotField dataField="1" showAll="0">
      <items count="6">
        <item x="1"/>
        <item x="2"/>
        <item x="3"/>
        <item x="0"/>
        <item x="4"/>
        <item t="default"/>
      </items>
    </pivotField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numFmtId="9" showAll="0">
      <items count="6">
        <item x="0"/>
        <item x="1"/>
        <item x="2"/>
        <item x="3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ales Person" fld="6" subtotal="count" baseField="0" baseItem="0"/>
  </dataFields>
  <formats count="2">
    <format dxfId="10">
      <pivotArea outline="0" collapsedLevelsAreSubtotals="1" fieldPosition="0"/>
    </format>
    <format dxfId="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C384E-03A5-4238-BD20-422E0D46BFB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9" firstHeaderRow="1" firstDataRow="1" firstDataCol="1"/>
  <pivotFields count="16">
    <pivotField showAll="0"/>
    <pivotField numFmtId="14" showAll="0">
      <items count="84">
        <item x="9"/>
        <item x="69"/>
        <item x="73"/>
        <item x="12"/>
        <item x="68"/>
        <item x="13"/>
        <item x="36"/>
        <item x="22"/>
        <item x="32"/>
        <item x="63"/>
        <item x="1"/>
        <item x="20"/>
        <item x="70"/>
        <item x="53"/>
        <item x="56"/>
        <item x="80"/>
        <item x="64"/>
        <item x="5"/>
        <item x="78"/>
        <item x="46"/>
        <item x="0"/>
        <item x="35"/>
        <item x="39"/>
        <item x="34"/>
        <item x="25"/>
        <item x="38"/>
        <item x="47"/>
        <item x="18"/>
        <item x="52"/>
        <item x="16"/>
        <item x="59"/>
        <item x="43"/>
        <item x="6"/>
        <item x="74"/>
        <item x="81"/>
        <item x="14"/>
        <item x="51"/>
        <item x="62"/>
        <item x="37"/>
        <item x="60"/>
        <item x="75"/>
        <item x="79"/>
        <item x="15"/>
        <item x="44"/>
        <item x="26"/>
        <item x="66"/>
        <item x="29"/>
        <item x="7"/>
        <item x="76"/>
        <item x="17"/>
        <item x="28"/>
        <item x="4"/>
        <item x="58"/>
        <item x="49"/>
        <item x="77"/>
        <item x="31"/>
        <item x="41"/>
        <item x="3"/>
        <item x="71"/>
        <item x="19"/>
        <item x="50"/>
        <item x="48"/>
        <item x="55"/>
        <item x="42"/>
        <item x="8"/>
        <item x="27"/>
        <item x="24"/>
        <item x="11"/>
        <item x="45"/>
        <item x="65"/>
        <item x="33"/>
        <item x="2"/>
        <item x="40"/>
        <item x="10"/>
        <item x="57"/>
        <item x="23"/>
        <item x="67"/>
        <item x="82"/>
        <item x="61"/>
        <item x="72"/>
        <item x="54"/>
        <item x="30"/>
        <item x="2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axis="axisRow" showAll="0" sortType="descending">
      <items count="6">
        <item x="4"/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numFmtId="9" showAll="0">
      <items count="6">
        <item x="0"/>
        <item x="1"/>
        <item x="2"/>
        <item x="3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4"/>
    </i>
    <i>
      <x v="3"/>
    </i>
    <i>
      <x v="1"/>
    </i>
    <i>
      <x v="2"/>
    </i>
    <i t="grand">
      <x/>
    </i>
  </rowItems>
  <colItems count="1">
    <i/>
  </colItems>
  <dataFields count="1">
    <dataField name="Sum of Quantity" fld="8" baseField="0" baseItem="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9BEA1-3CF7-43AD-B2E6-A20147F7A18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6">
    <pivotField showAll="0"/>
    <pivotField numFmtId="14" showAll="0">
      <items count="84">
        <item x="9"/>
        <item x="69"/>
        <item x="73"/>
        <item x="12"/>
        <item x="68"/>
        <item x="13"/>
        <item x="36"/>
        <item x="22"/>
        <item x="32"/>
        <item x="63"/>
        <item x="1"/>
        <item x="20"/>
        <item x="70"/>
        <item x="53"/>
        <item x="56"/>
        <item x="80"/>
        <item x="64"/>
        <item x="5"/>
        <item x="78"/>
        <item x="46"/>
        <item x="0"/>
        <item x="35"/>
        <item x="39"/>
        <item x="34"/>
        <item x="25"/>
        <item x="38"/>
        <item x="47"/>
        <item x="18"/>
        <item x="52"/>
        <item x="16"/>
        <item x="59"/>
        <item x="43"/>
        <item x="6"/>
        <item x="74"/>
        <item x="81"/>
        <item x="14"/>
        <item x="51"/>
        <item x="62"/>
        <item x="37"/>
        <item x="60"/>
        <item x="75"/>
        <item x="79"/>
        <item x="15"/>
        <item x="44"/>
        <item x="26"/>
        <item x="66"/>
        <item x="29"/>
        <item x="7"/>
        <item x="76"/>
        <item x="17"/>
        <item x="28"/>
        <item x="4"/>
        <item x="58"/>
        <item x="49"/>
        <item x="77"/>
        <item x="31"/>
        <item x="41"/>
        <item x="3"/>
        <item x="71"/>
        <item x="19"/>
        <item x="50"/>
        <item x="48"/>
        <item x="55"/>
        <item x="42"/>
        <item x="8"/>
        <item x="27"/>
        <item x="24"/>
        <item x="11"/>
        <item x="45"/>
        <item x="65"/>
        <item x="33"/>
        <item x="2"/>
        <item x="40"/>
        <item x="10"/>
        <item x="57"/>
        <item x="23"/>
        <item x="67"/>
        <item x="82"/>
        <item x="61"/>
        <item x="72"/>
        <item x="54"/>
        <item x="30"/>
        <item x="21"/>
        <item t="default"/>
      </items>
    </pivotField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9" showAll="0">
      <items count="6">
        <item x="0"/>
        <item x="1"/>
        <item x="2"/>
        <item x="3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net Revenue" fld="12" baseField="0" baseItem="0" numFmtId="1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FECAF-E22D-4983-8BB8-50345800C75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24" firstHeaderRow="1" firstDataRow="1" firstDataCol="1"/>
  <pivotFields count="16">
    <pivotField showAll="0"/>
    <pivotField axis="axisRow" numFmtId="14" showAll="0">
      <items count="84">
        <item x="9"/>
        <item x="69"/>
        <item x="73"/>
        <item x="12"/>
        <item x="68"/>
        <item x="13"/>
        <item x="36"/>
        <item x="22"/>
        <item x="32"/>
        <item x="63"/>
        <item x="1"/>
        <item x="20"/>
        <item x="70"/>
        <item x="53"/>
        <item x="56"/>
        <item x="80"/>
        <item x="64"/>
        <item x="5"/>
        <item x="78"/>
        <item x="46"/>
        <item x="0"/>
        <item x="35"/>
        <item x="39"/>
        <item x="34"/>
        <item x="25"/>
        <item x="38"/>
        <item x="47"/>
        <item x="18"/>
        <item x="52"/>
        <item x="16"/>
        <item x="59"/>
        <item x="43"/>
        <item x="6"/>
        <item x="74"/>
        <item x="81"/>
        <item x="14"/>
        <item x="51"/>
        <item x="62"/>
        <item x="37"/>
        <item x="60"/>
        <item x="75"/>
        <item x="79"/>
        <item x="15"/>
        <item x="44"/>
        <item x="26"/>
        <item x="66"/>
        <item x="29"/>
        <item x="7"/>
        <item x="76"/>
        <item x="17"/>
        <item x="28"/>
        <item x="4"/>
        <item x="58"/>
        <item x="49"/>
        <item x="77"/>
        <item x="31"/>
        <item x="41"/>
        <item x="3"/>
        <item x="71"/>
        <item x="19"/>
        <item x="50"/>
        <item x="48"/>
        <item x="55"/>
        <item x="42"/>
        <item x="8"/>
        <item x="27"/>
        <item x="24"/>
        <item x="11"/>
        <item x="45"/>
        <item x="65"/>
        <item x="33"/>
        <item x="2"/>
        <item x="40"/>
        <item x="10"/>
        <item x="57"/>
        <item x="23"/>
        <item x="67"/>
        <item x="82"/>
        <item x="61"/>
        <item x="72"/>
        <item x="54"/>
        <item x="30"/>
        <item x="2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9" showAll="0">
      <items count="6">
        <item x="0"/>
        <item x="1"/>
        <item x="2"/>
        <item x="3"/>
        <item x="4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5"/>
    <field x="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 Revenue" fld="12" baseField="0" baseItem="0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8B423-1107-4895-8FE1-B04E2D144B31}" name="PivotTable8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K3:L8" firstHeaderRow="1" firstDataRow="1" firstDataCol="1"/>
  <pivotFields count="16">
    <pivotField showAll="0"/>
    <pivotField numFmtId="14" showAll="0">
      <items count="84">
        <item x="9"/>
        <item x="69"/>
        <item x="73"/>
        <item x="12"/>
        <item x="68"/>
        <item x="13"/>
        <item x="36"/>
        <item x="22"/>
        <item x="32"/>
        <item x="63"/>
        <item x="1"/>
        <item x="20"/>
        <item x="70"/>
        <item x="53"/>
        <item x="56"/>
        <item x="80"/>
        <item x="64"/>
        <item x="5"/>
        <item x="78"/>
        <item x="46"/>
        <item x="0"/>
        <item x="35"/>
        <item x="39"/>
        <item x="34"/>
        <item x="25"/>
        <item x="38"/>
        <item x="47"/>
        <item x="18"/>
        <item x="52"/>
        <item x="16"/>
        <item x="59"/>
        <item x="43"/>
        <item x="6"/>
        <item x="74"/>
        <item x="81"/>
        <item x="14"/>
        <item x="51"/>
        <item x="62"/>
        <item x="37"/>
        <item x="60"/>
        <item x="75"/>
        <item x="79"/>
        <item x="15"/>
        <item x="44"/>
        <item x="26"/>
        <item x="66"/>
        <item x="29"/>
        <item x="7"/>
        <item x="76"/>
        <item x="17"/>
        <item x="28"/>
        <item x="4"/>
        <item x="58"/>
        <item x="49"/>
        <item x="77"/>
        <item x="31"/>
        <item x="41"/>
        <item x="3"/>
        <item x="71"/>
        <item x="19"/>
        <item x="50"/>
        <item x="48"/>
        <item x="55"/>
        <item x="42"/>
        <item x="8"/>
        <item x="27"/>
        <item x="24"/>
        <item x="11"/>
        <item x="45"/>
        <item x="65"/>
        <item x="33"/>
        <item x="2"/>
        <item x="40"/>
        <item x="10"/>
        <item x="57"/>
        <item x="23"/>
        <item x="67"/>
        <item x="82"/>
        <item x="61"/>
        <item x="72"/>
        <item x="54"/>
        <item x="30"/>
        <item x="2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70">
        <item x="1"/>
        <item x="41"/>
        <item x="9"/>
        <item x="58"/>
        <item x="66"/>
        <item x="60"/>
        <item x="33"/>
        <item x="10"/>
        <item x="45"/>
        <item x="12"/>
        <item x="31"/>
        <item x="11"/>
        <item x="68"/>
        <item x="48"/>
        <item x="35"/>
        <item x="13"/>
        <item x="64"/>
        <item x="57"/>
        <item x="39"/>
        <item x="4"/>
        <item x="7"/>
        <item x="23"/>
        <item x="17"/>
        <item x="14"/>
        <item x="15"/>
        <item x="8"/>
        <item x="5"/>
        <item x="3"/>
        <item x="30"/>
        <item x="46"/>
        <item x="56"/>
        <item x="63"/>
        <item x="47"/>
        <item x="34"/>
        <item x="29"/>
        <item x="6"/>
        <item x="36"/>
        <item x="53"/>
        <item x="19"/>
        <item x="32"/>
        <item x="44"/>
        <item x="59"/>
        <item x="20"/>
        <item x="43"/>
        <item x="16"/>
        <item x="37"/>
        <item x="54"/>
        <item x="21"/>
        <item x="25"/>
        <item x="65"/>
        <item x="18"/>
        <item x="40"/>
        <item x="52"/>
        <item x="0"/>
        <item x="62"/>
        <item x="49"/>
        <item x="2"/>
        <item x="61"/>
        <item x="22"/>
        <item x="24"/>
        <item x="28"/>
        <item x="67"/>
        <item x="55"/>
        <item x="51"/>
        <item x="50"/>
        <item x="38"/>
        <item x="42"/>
        <item x="27"/>
        <item x="26"/>
        <item t="default"/>
      </items>
    </pivotField>
    <pivotField showAll="0"/>
    <pivotField axis="axisRow" numFmtId="9" showAll="0">
      <items count="6">
        <item x="0"/>
        <item x="1"/>
        <item x="2"/>
        <item x="3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iscount" fld="11" baseField="0" baseItem="0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B9BB13-1EAE-4430-A2D6-E921F9F484F5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Date" tableColumnId="2"/>
      <queryTableField id="3" name="Customer name" tableColumnId="3"/>
      <queryTableField id="4" name="Gender" tableColumnId="4"/>
      <queryTableField id="5" name="Age" tableColumnId="5"/>
      <queryTableField id="6" name="Product" tableColumnId="6"/>
      <queryTableField id="7" name="Sales Person" tableColumnId="7"/>
      <queryTableField id="8" name="Category" tableColumnId="8"/>
      <queryTableField id="9" name="Quantity" tableColumnId="9"/>
      <queryTableField id="10" name="Price" tableColumnId="10"/>
      <queryTableField id="11" name="Revenue" tableColumnId="11"/>
      <queryTableField id="12" name="Discount" tableColumnId="12"/>
      <queryTableField id="13" name="net Revenue" tableColumnId="13"/>
      <queryTableField id="14" name="% Discount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B5F49-3B5D-4690-B308-DA873C30CA0E}" name="Table1" displayName="Table1" ref="A3:N25" totalsRowShown="0">
  <autoFilter ref="A3:N25" xr:uid="{509B5F49-3B5D-4690-B308-DA873C30CA0E}"/>
  <tableColumns count="14">
    <tableColumn id="1" xr3:uid="{0526E9D2-81FE-46B8-8C30-5570E672FD83}" name="Order id"/>
    <tableColumn id="2" xr3:uid="{136D427A-D33E-4B38-A062-7C06E717E727}" name="Date" dataDxfId="7"/>
    <tableColumn id="3" xr3:uid="{8F550383-13A3-483E-AAB5-F27FE044B2DF}" name="Customer name"/>
    <tableColumn id="4" xr3:uid="{76004AB4-A809-41A6-97A4-C040B664C0C9}" name="Gender"/>
    <tableColumn id="5" xr3:uid="{8A377484-5560-4DFD-9C43-A17275DC25EA}" name="Age"/>
    <tableColumn id="6" xr3:uid="{37AF3F07-F95A-409F-8241-AC353FF99151}" name="Product"/>
    <tableColumn id="7" xr3:uid="{6C2A1C9D-6D20-4681-A7B8-7DF7592E0F43}" name="Sales Person"/>
    <tableColumn id="8" xr3:uid="{F7134988-053E-4E16-995E-F4BBC52C6704}" name="Category"/>
    <tableColumn id="9" xr3:uid="{C28A48A0-2CC7-44D0-B0EE-2BA0E87F234E}" name="Quantity"/>
    <tableColumn id="10" xr3:uid="{8B3350AA-0252-4A33-B643-CA93215D6E46}" name="Price"/>
    <tableColumn id="11" xr3:uid="{79B9C619-10A3-4EBA-9CE7-02F3248887D0}" name="Revenue"/>
    <tableColumn id="12" xr3:uid="{A8684309-0C14-47C5-95BA-08084ACB1524}" name="Discount"/>
    <tableColumn id="13" xr3:uid="{49EF9CA5-3DEC-4049-95B8-47F3B06D4B33}" name="net Revenue"/>
    <tableColumn id="14" xr3:uid="{9B7F201F-1F29-4B68-9DDE-9C7DD78FB8AF}" name="% Dis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EE770F-7464-43FE-BC73-6AD40345F37A}" name="Table2_1" displayName="Table2_1" ref="A1:N106" tableType="queryTable" totalsRowShown="0">
  <autoFilter ref="A1:N106" xr:uid="{66EE770F-7464-43FE-BC73-6AD40345F37A}"/>
  <tableColumns count="14">
    <tableColumn id="1" xr3:uid="{224DF251-5456-4B32-8BEC-7FD2A15AB93B}" uniqueName="1" name="Order id" queryTableFieldId="1"/>
    <tableColumn id="2" xr3:uid="{58B108A2-B363-451E-AF0D-49C00055F69E}" uniqueName="2" name="Date" queryTableFieldId="2" dataDxfId="6"/>
    <tableColumn id="3" xr3:uid="{619237C5-E9CC-4929-A2DC-5716FB312893}" uniqueName="3" name="Customer name" queryTableFieldId="3" dataDxfId="5"/>
    <tableColumn id="4" xr3:uid="{E14FA906-0224-476B-8144-13A242501680}" uniqueName="4" name="Gender" queryTableFieldId="4" dataDxfId="4"/>
    <tableColumn id="5" xr3:uid="{5D22F851-352A-4576-9434-4C4181D69B99}" uniqueName="5" name="Age" queryTableFieldId="5"/>
    <tableColumn id="6" xr3:uid="{4E4CA366-9217-4151-AFA9-BA867155EC20}" uniqueName="6" name="Product" queryTableFieldId="6" dataDxfId="3"/>
    <tableColumn id="7" xr3:uid="{4CD2F27C-4318-4BBD-95A9-CBF11094560C}" uniqueName="7" name="Sales Person" queryTableFieldId="7" dataDxfId="2"/>
    <tableColumn id="8" xr3:uid="{79B762C6-1A6F-4182-8446-425CF34DED4C}" uniqueName="8" name="Category" queryTableFieldId="8" dataDxfId="1"/>
    <tableColumn id="9" xr3:uid="{17C340F1-F9FC-4D08-AAD4-B0603B944230}" uniqueName="9" name="Quantity" queryTableFieldId="9"/>
    <tableColumn id="10" xr3:uid="{13264DAA-52D6-48D9-9B7E-37384A7F6A1A}" uniqueName="10" name="Price" queryTableFieldId="10"/>
    <tableColumn id="11" xr3:uid="{262B0F2B-852A-4613-8A0C-A647B8997329}" uniqueName="11" name="Revenue" queryTableFieldId="11"/>
    <tableColumn id="12" xr3:uid="{9A74C120-AD66-48BB-8475-C7CBA0B3023D}" uniqueName="12" name="Discount" queryTableFieldId="12"/>
    <tableColumn id="13" xr3:uid="{C902C02C-0E7B-4889-B17A-82A11CD8F236}" uniqueName="13" name="net Revenue" queryTableFieldId="13"/>
    <tableColumn id="14" xr3:uid="{5F8D6F19-8E74-4BFC-8DA3-4A31317B3520}" uniqueName="14" name="% Discount" queryTableFieldId="14" dataCellStyle="Percent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CB96F0-F158-426D-9CF9-D5AFDC7E451F}" name="Table2" displayName="Table2" ref="A1:N115" totalsRowShown="0">
  <autoFilter ref="A1:N115" xr:uid="{8ECB96F0-F158-426D-9CF9-D5AFDC7E451F}"/>
  <tableColumns count="14">
    <tableColumn id="1" xr3:uid="{CFD7CF53-9ED5-44B3-B985-46E9E282A8D4}" name="Order id"/>
    <tableColumn id="2" xr3:uid="{08A277C7-44B7-41CF-B402-8B60A7B50708}" name="Date"/>
    <tableColumn id="3" xr3:uid="{1A5D4196-79AB-43B1-8D5A-8FEB9F3AFCCE}" name="First Name"/>
    <tableColumn id="4" xr3:uid="{E73F2752-B195-4521-88FD-6F7065E49F72}" name="Last Name"/>
    <tableColumn id="5" xr3:uid="{C4EB3C95-484C-4C21-A9AC-D18AFD8D4B3B}" name="Gender"/>
    <tableColumn id="6" xr3:uid="{96B9B5E5-18A2-4343-9ACE-DC303C2AECFF}" name="Age"/>
    <tableColumn id="7" xr3:uid="{030683EC-409A-4EC0-AE46-32D325A2E3D4}" name="Product"/>
    <tableColumn id="8" xr3:uid="{AF46F87B-312A-433F-A514-485E3FBF277E}" name="Sales Person"/>
    <tableColumn id="9" xr3:uid="{A3ED570B-0ADD-4285-BC9C-0ABCE74BBF49}" name="Category"/>
    <tableColumn id="10" xr3:uid="{FD597E34-E159-484B-8F4D-967AFA033DA7}" name="Quantity"/>
    <tableColumn id="11" xr3:uid="{CD4EB1FD-03D1-4A9C-8E9A-F66A342A7B07}" name="Price"/>
    <tableColumn id="12" xr3:uid="{0592941D-F2C1-476B-BCAA-25741543BB79}" name="Revenue"/>
    <tableColumn id="13" xr3:uid="{81A517A9-2FBB-4CAA-AFF1-BA3C85E08D58}" name="Discount"/>
    <tableColumn id="14" xr3:uid="{6E71251E-CDEE-4D13-A9BB-44EABA5CE530}" name="net 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E4D2-98A6-4896-84EB-E54B8590F949}">
  <dimension ref="A1:N25"/>
  <sheetViews>
    <sheetView workbookViewId="0">
      <selection activeCell="F5" sqref="F5"/>
    </sheetView>
  </sheetViews>
  <sheetFormatPr defaultRowHeight="15" x14ac:dyDescent="0.25"/>
  <cols>
    <col min="1" max="1" width="10.5703125" bestFit="1" customWidth="1"/>
    <col min="2" max="2" width="10.7109375" bestFit="1" customWidth="1"/>
    <col min="3" max="3" width="17.42578125" bestFit="1" customWidth="1"/>
    <col min="4" max="4" width="10" bestFit="1" customWidth="1"/>
    <col min="5" max="5" width="9.28515625" bestFit="1" customWidth="1"/>
    <col min="6" max="6" width="10.140625" bestFit="1" customWidth="1"/>
    <col min="7" max="7" width="16.7109375" bestFit="1" customWidth="1"/>
    <col min="8" max="8" width="11.28515625" bestFit="1" customWidth="1"/>
    <col min="9" max="9" width="11" bestFit="1" customWidth="1"/>
    <col min="10" max="10" width="9.28515625" bestFit="1" customWidth="1"/>
    <col min="11" max="11" width="11.140625" bestFit="1" customWidth="1"/>
    <col min="12" max="12" width="11" bestFit="1" customWidth="1"/>
    <col min="13" max="13" width="14.5703125" bestFit="1" customWidth="1"/>
    <col min="14" max="14" width="13" bestFit="1" customWidth="1"/>
  </cols>
  <sheetData>
    <row r="1" spans="1:14" x14ac:dyDescent="0.25">
      <c r="A1" s="8" t="s">
        <v>78</v>
      </c>
    </row>
    <row r="3" spans="1:14" x14ac:dyDescent="0.25">
      <c r="A3" t="s">
        <v>0</v>
      </c>
      <c r="B3" t="s">
        <v>1</v>
      </c>
      <c r="C3" t="s">
        <v>55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56</v>
      </c>
    </row>
    <row r="4" spans="1:14" x14ac:dyDescent="0.25">
      <c r="A4">
        <v>556</v>
      </c>
      <c r="B4" s="1">
        <v>45787</v>
      </c>
      <c r="C4" t="s">
        <v>58</v>
      </c>
      <c r="D4" t="s">
        <v>16</v>
      </c>
      <c r="E4">
        <v>41</v>
      </c>
      <c r="F4" t="s">
        <v>30</v>
      </c>
      <c r="G4" t="s">
        <v>46</v>
      </c>
      <c r="H4" t="s">
        <v>32</v>
      </c>
      <c r="I4">
        <v>3</v>
      </c>
      <c r="J4">
        <v>35</v>
      </c>
      <c r="K4">
        <v>105</v>
      </c>
      <c r="L4">
        <v>2.1</v>
      </c>
      <c r="M4">
        <v>102.9</v>
      </c>
      <c r="N4">
        <v>0.02</v>
      </c>
    </row>
    <row r="5" spans="1:14" x14ac:dyDescent="0.25">
      <c r="A5">
        <v>550</v>
      </c>
      <c r="B5" s="1">
        <v>45705</v>
      </c>
      <c r="C5" t="s">
        <v>60</v>
      </c>
      <c r="D5" t="s">
        <v>16</v>
      </c>
      <c r="E5">
        <v>69</v>
      </c>
      <c r="F5" t="s">
        <v>30</v>
      </c>
      <c r="G5" t="s">
        <v>43</v>
      </c>
      <c r="H5" t="s">
        <v>32</v>
      </c>
      <c r="I5">
        <v>5</v>
      </c>
      <c r="J5">
        <v>35</v>
      </c>
      <c r="K5">
        <v>175</v>
      </c>
      <c r="L5">
        <v>24.500000000000004</v>
      </c>
      <c r="M5">
        <v>150.5</v>
      </c>
      <c r="N5">
        <v>0.14000000000000001</v>
      </c>
    </row>
    <row r="6" spans="1:14" x14ac:dyDescent="0.25">
      <c r="A6">
        <v>549</v>
      </c>
      <c r="B6" s="1">
        <v>45856</v>
      </c>
      <c r="C6" t="s">
        <v>59</v>
      </c>
      <c r="D6" t="s">
        <v>16</v>
      </c>
      <c r="E6">
        <v>53</v>
      </c>
      <c r="F6" t="s">
        <v>30</v>
      </c>
      <c r="G6" t="s">
        <v>38</v>
      </c>
      <c r="H6" t="s">
        <v>32</v>
      </c>
      <c r="I6">
        <v>3</v>
      </c>
      <c r="J6">
        <v>35</v>
      </c>
      <c r="K6">
        <v>105</v>
      </c>
      <c r="L6">
        <v>3.15</v>
      </c>
      <c r="M6">
        <v>101.85</v>
      </c>
      <c r="N6">
        <v>0.03</v>
      </c>
    </row>
    <row r="7" spans="1:14" x14ac:dyDescent="0.25">
      <c r="A7">
        <v>453</v>
      </c>
      <c r="B7" s="1">
        <v>45860</v>
      </c>
      <c r="C7" t="s">
        <v>60</v>
      </c>
      <c r="D7" t="s">
        <v>16</v>
      </c>
      <c r="E7">
        <v>65</v>
      </c>
      <c r="F7" t="s">
        <v>30</v>
      </c>
      <c r="G7" t="s">
        <v>38</v>
      </c>
      <c r="H7" t="s">
        <v>32</v>
      </c>
      <c r="I7">
        <v>3</v>
      </c>
      <c r="J7">
        <v>35</v>
      </c>
      <c r="K7">
        <v>105</v>
      </c>
      <c r="L7">
        <v>0</v>
      </c>
      <c r="M7">
        <v>105</v>
      </c>
      <c r="N7">
        <v>0</v>
      </c>
    </row>
    <row r="8" spans="1:14" x14ac:dyDescent="0.25">
      <c r="A8">
        <v>548</v>
      </c>
      <c r="B8" s="1">
        <v>45832</v>
      </c>
      <c r="C8" t="s">
        <v>58</v>
      </c>
      <c r="D8" t="s">
        <v>16</v>
      </c>
      <c r="E8">
        <v>64</v>
      </c>
      <c r="F8" t="s">
        <v>30</v>
      </c>
      <c r="G8" t="s">
        <v>43</v>
      </c>
      <c r="H8" t="s">
        <v>32</v>
      </c>
      <c r="I8">
        <v>3</v>
      </c>
      <c r="J8">
        <v>35</v>
      </c>
      <c r="K8">
        <v>105</v>
      </c>
      <c r="L8">
        <v>8.4</v>
      </c>
      <c r="M8">
        <v>96.6</v>
      </c>
      <c r="N8">
        <v>0.08</v>
      </c>
    </row>
    <row r="9" spans="1:14" x14ac:dyDescent="0.25">
      <c r="A9">
        <v>544</v>
      </c>
      <c r="B9" s="1">
        <v>45816</v>
      </c>
      <c r="C9" t="s">
        <v>59</v>
      </c>
      <c r="D9" t="s">
        <v>16</v>
      </c>
      <c r="E9">
        <v>70</v>
      </c>
      <c r="F9" t="s">
        <v>30</v>
      </c>
      <c r="G9" t="s">
        <v>43</v>
      </c>
      <c r="H9" t="s">
        <v>32</v>
      </c>
      <c r="I9">
        <v>5</v>
      </c>
      <c r="J9">
        <v>35</v>
      </c>
      <c r="K9">
        <v>175</v>
      </c>
      <c r="L9">
        <v>3.5</v>
      </c>
      <c r="M9">
        <v>171.5</v>
      </c>
      <c r="N9">
        <v>0.02</v>
      </c>
    </row>
    <row r="10" spans="1:14" x14ac:dyDescent="0.25">
      <c r="A10">
        <v>453</v>
      </c>
      <c r="B10" s="1">
        <v>45860</v>
      </c>
      <c r="C10" t="s">
        <v>60</v>
      </c>
      <c r="D10" t="s">
        <v>16</v>
      </c>
      <c r="E10">
        <v>65</v>
      </c>
      <c r="F10" t="s">
        <v>30</v>
      </c>
      <c r="G10" t="s">
        <v>38</v>
      </c>
      <c r="H10" t="s">
        <v>32</v>
      </c>
      <c r="I10">
        <v>3</v>
      </c>
      <c r="J10">
        <v>35</v>
      </c>
      <c r="K10">
        <v>105</v>
      </c>
      <c r="L10">
        <v>6.3</v>
      </c>
      <c r="M10">
        <v>98.7</v>
      </c>
      <c r="N10">
        <v>0.06</v>
      </c>
    </row>
    <row r="11" spans="1:14" x14ac:dyDescent="0.25">
      <c r="A11">
        <v>542</v>
      </c>
      <c r="B11" s="1">
        <v>45807</v>
      </c>
      <c r="C11" t="s">
        <v>57</v>
      </c>
      <c r="D11" t="s">
        <v>16</v>
      </c>
      <c r="E11">
        <v>45</v>
      </c>
      <c r="F11" t="s">
        <v>30</v>
      </c>
      <c r="G11" t="s">
        <v>38</v>
      </c>
      <c r="H11" t="s">
        <v>32</v>
      </c>
      <c r="I11">
        <v>1</v>
      </c>
      <c r="J11">
        <v>35</v>
      </c>
      <c r="K11">
        <v>35</v>
      </c>
      <c r="L11">
        <v>0.70000000000000007</v>
      </c>
      <c r="M11">
        <v>34.299999999999997</v>
      </c>
      <c r="N11">
        <v>0.02</v>
      </c>
    </row>
    <row r="12" spans="1:14" x14ac:dyDescent="0.25">
      <c r="A12">
        <v>530</v>
      </c>
      <c r="B12" s="1">
        <v>45823</v>
      </c>
      <c r="C12" t="s">
        <v>58</v>
      </c>
      <c r="D12" t="s">
        <v>16</v>
      </c>
      <c r="E12">
        <v>43</v>
      </c>
      <c r="F12" t="s">
        <v>30</v>
      </c>
      <c r="G12" t="s">
        <v>38</v>
      </c>
      <c r="H12" t="s">
        <v>32</v>
      </c>
      <c r="I12">
        <v>4</v>
      </c>
      <c r="J12">
        <v>35</v>
      </c>
      <c r="K12">
        <v>140</v>
      </c>
      <c r="L12">
        <v>19.600000000000001</v>
      </c>
      <c r="M12">
        <v>120.4</v>
      </c>
      <c r="N12">
        <v>0.14000000000000001</v>
      </c>
    </row>
    <row r="13" spans="1:14" x14ac:dyDescent="0.25">
      <c r="A13">
        <v>527</v>
      </c>
      <c r="B13" s="1">
        <v>45726</v>
      </c>
      <c r="C13" t="s">
        <v>59</v>
      </c>
      <c r="D13" t="s">
        <v>16</v>
      </c>
      <c r="E13">
        <v>70</v>
      </c>
      <c r="F13" t="s">
        <v>30</v>
      </c>
      <c r="G13" t="s">
        <v>38</v>
      </c>
      <c r="H13" t="s">
        <v>32</v>
      </c>
      <c r="I13">
        <v>5</v>
      </c>
      <c r="J13">
        <v>35</v>
      </c>
      <c r="K13">
        <v>175</v>
      </c>
      <c r="L13">
        <v>0</v>
      </c>
      <c r="M13">
        <v>175</v>
      </c>
      <c r="N13">
        <v>0</v>
      </c>
    </row>
    <row r="14" spans="1:14" x14ac:dyDescent="0.25">
      <c r="A14">
        <v>460</v>
      </c>
      <c r="B14" s="1">
        <v>45661</v>
      </c>
      <c r="C14" t="s">
        <v>58</v>
      </c>
      <c r="D14" t="s">
        <v>16</v>
      </c>
      <c r="E14">
        <v>57</v>
      </c>
      <c r="F14" t="s">
        <v>30</v>
      </c>
      <c r="G14" t="s">
        <v>38</v>
      </c>
      <c r="H14" t="s">
        <v>32</v>
      </c>
      <c r="I14">
        <v>2</v>
      </c>
      <c r="J14">
        <v>35</v>
      </c>
      <c r="K14">
        <v>70</v>
      </c>
      <c r="L14">
        <v>4.2</v>
      </c>
      <c r="M14">
        <v>65.8</v>
      </c>
      <c r="N14">
        <v>6.0000000000000005E-2</v>
      </c>
    </row>
    <row r="15" spans="1:14" x14ac:dyDescent="0.25">
      <c r="A15">
        <v>516</v>
      </c>
      <c r="B15" s="1">
        <v>45877</v>
      </c>
      <c r="C15" t="s">
        <v>57</v>
      </c>
      <c r="D15" t="s">
        <v>16</v>
      </c>
      <c r="E15">
        <v>35</v>
      </c>
      <c r="F15" t="s">
        <v>30</v>
      </c>
      <c r="G15" t="s">
        <v>43</v>
      </c>
      <c r="H15" t="s">
        <v>32</v>
      </c>
      <c r="I15">
        <v>2</v>
      </c>
      <c r="J15">
        <v>35</v>
      </c>
      <c r="K15">
        <v>70</v>
      </c>
      <c r="L15">
        <v>7.7</v>
      </c>
      <c r="M15">
        <v>62.3</v>
      </c>
      <c r="N15">
        <v>0.11</v>
      </c>
    </row>
    <row r="16" spans="1:14" x14ac:dyDescent="0.25">
      <c r="A16">
        <v>515</v>
      </c>
      <c r="B16" s="1">
        <v>45967</v>
      </c>
      <c r="C16" t="s">
        <v>60</v>
      </c>
      <c r="D16" t="s">
        <v>16</v>
      </c>
      <c r="E16">
        <v>25</v>
      </c>
      <c r="F16" t="s">
        <v>30</v>
      </c>
      <c r="G16" t="s">
        <v>45</v>
      </c>
      <c r="H16" t="s">
        <v>32</v>
      </c>
      <c r="I16">
        <v>1</v>
      </c>
      <c r="J16">
        <v>35</v>
      </c>
      <c r="K16">
        <v>35</v>
      </c>
      <c r="L16">
        <v>1.05</v>
      </c>
      <c r="M16">
        <v>33.950000000000003</v>
      </c>
      <c r="N16">
        <v>3.0000000000000002E-2</v>
      </c>
    </row>
    <row r="17" spans="1:14" x14ac:dyDescent="0.25">
      <c r="A17">
        <v>513</v>
      </c>
      <c r="B17" s="1">
        <v>45757</v>
      </c>
      <c r="C17" t="s">
        <v>58</v>
      </c>
      <c r="D17" t="s">
        <v>16</v>
      </c>
      <c r="E17">
        <v>70</v>
      </c>
      <c r="F17" t="s">
        <v>30</v>
      </c>
      <c r="G17" t="s">
        <v>38</v>
      </c>
      <c r="H17" t="s">
        <v>32</v>
      </c>
      <c r="I17">
        <v>1</v>
      </c>
      <c r="J17">
        <v>35</v>
      </c>
      <c r="K17">
        <v>35</v>
      </c>
      <c r="L17">
        <v>4.2</v>
      </c>
      <c r="M17">
        <v>30.8</v>
      </c>
      <c r="N17">
        <v>0.12000000000000001</v>
      </c>
    </row>
    <row r="18" spans="1:14" x14ac:dyDescent="0.25">
      <c r="A18">
        <v>510</v>
      </c>
      <c r="B18" s="1">
        <v>45844</v>
      </c>
      <c r="C18" t="s">
        <v>59</v>
      </c>
      <c r="D18" t="s">
        <v>16</v>
      </c>
      <c r="E18">
        <v>29</v>
      </c>
      <c r="F18" t="s">
        <v>30</v>
      </c>
      <c r="G18" t="s">
        <v>45</v>
      </c>
      <c r="H18" t="s">
        <v>32</v>
      </c>
      <c r="I18">
        <v>3</v>
      </c>
      <c r="J18">
        <v>35</v>
      </c>
      <c r="K18">
        <v>105</v>
      </c>
      <c r="L18">
        <v>13.65</v>
      </c>
      <c r="M18">
        <v>91.35</v>
      </c>
      <c r="N18">
        <v>0.13</v>
      </c>
    </row>
    <row r="19" spans="1:14" x14ac:dyDescent="0.25">
      <c r="A19">
        <v>508</v>
      </c>
      <c r="B19" s="1">
        <v>45749</v>
      </c>
      <c r="C19" t="s">
        <v>57</v>
      </c>
      <c r="D19" t="s">
        <v>16</v>
      </c>
      <c r="E19">
        <v>67</v>
      </c>
      <c r="F19" t="s">
        <v>30</v>
      </c>
      <c r="G19" t="s">
        <v>46</v>
      </c>
      <c r="H19" t="s">
        <v>32</v>
      </c>
      <c r="I19">
        <v>1</v>
      </c>
      <c r="J19">
        <v>35</v>
      </c>
      <c r="K19">
        <v>35</v>
      </c>
      <c r="L19">
        <v>0.35000000000000003</v>
      </c>
      <c r="M19">
        <v>34.65</v>
      </c>
      <c r="N19">
        <v>0.01</v>
      </c>
    </row>
    <row r="20" spans="1:14" x14ac:dyDescent="0.25">
      <c r="A20">
        <v>506</v>
      </c>
      <c r="B20" s="1">
        <v>45914</v>
      </c>
      <c r="C20" t="s">
        <v>59</v>
      </c>
      <c r="D20" t="s">
        <v>16</v>
      </c>
      <c r="E20">
        <v>52</v>
      </c>
      <c r="F20" t="s">
        <v>30</v>
      </c>
      <c r="G20" t="s">
        <v>43</v>
      </c>
      <c r="H20" t="s">
        <v>32</v>
      </c>
      <c r="I20">
        <v>2</v>
      </c>
      <c r="J20">
        <v>35</v>
      </c>
      <c r="K20">
        <v>70</v>
      </c>
      <c r="L20">
        <v>3.5</v>
      </c>
      <c r="M20">
        <v>66.5</v>
      </c>
      <c r="N20">
        <v>0.05</v>
      </c>
    </row>
    <row r="21" spans="1:14" x14ac:dyDescent="0.25">
      <c r="A21">
        <v>501</v>
      </c>
      <c r="B21" s="1">
        <v>45755</v>
      </c>
      <c r="C21" t="s">
        <v>58</v>
      </c>
      <c r="D21" t="s">
        <v>16</v>
      </c>
      <c r="E21">
        <v>30</v>
      </c>
      <c r="F21" t="s">
        <v>30</v>
      </c>
      <c r="G21" t="s">
        <v>38</v>
      </c>
      <c r="H21" t="s">
        <v>32</v>
      </c>
      <c r="I21">
        <v>1</v>
      </c>
      <c r="J21">
        <v>35</v>
      </c>
      <c r="K21">
        <v>35</v>
      </c>
      <c r="L21">
        <v>2.8000000000000003</v>
      </c>
      <c r="M21">
        <v>32.200000000000003</v>
      </c>
      <c r="N21">
        <v>0.08</v>
      </c>
    </row>
    <row r="22" spans="1:14" x14ac:dyDescent="0.25">
      <c r="A22">
        <v>500</v>
      </c>
      <c r="B22" s="1">
        <v>45859</v>
      </c>
      <c r="C22" t="s">
        <v>57</v>
      </c>
      <c r="D22" t="s">
        <v>22</v>
      </c>
      <c r="E22">
        <v>33</v>
      </c>
      <c r="F22" t="s">
        <v>30</v>
      </c>
      <c r="G22" t="s">
        <v>43</v>
      </c>
      <c r="H22" t="s">
        <v>32</v>
      </c>
      <c r="I22">
        <v>3</v>
      </c>
      <c r="J22">
        <v>35</v>
      </c>
      <c r="K22">
        <v>105</v>
      </c>
      <c r="L22">
        <v>9.4499999999999993</v>
      </c>
      <c r="M22">
        <v>95.55</v>
      </c>
      <c r="N22">
        <v>0.09</v>
      </c>
    </row>
    <row r="23" spans="1:14" x14ac:dyDescent="0.25">
      <c r="A23">
        <v>492</v>
      </c>
      <c r="B23" s="1">
        <v>45742</v>
      </c>
      <c r="C23" t="s">
        <v>57</v>
      </c>
      <c r="D23" t="s">
        <v>16</v>
      </c>
      <c r="E23">
        <v>31</v>
      </c>
      <c r="F23" t="s">
        <v>30</v>
      </c>
      <c r="G23" t="s">
        <v>43</v>
      </c>
      <c r="H23" t="s">
        <v>32</v>
      </c>
      <c r="I23">
        <v>2</v>
      </c>
      <c r="J23">
        <v>35</v>
      </c>
      <c r="K23">
        <v>70</v>
      </c>
      <c r="L23">
        <v>9.8000000000000007</v>
      </c>
      <c r="M23">
        <v>60.2</v>
      </c>
      <c r="N23">
        <v>0.14000000000000001</v>
      </c>
    </row>
    <row r="24" spans="1:14" x14ac:dyDescent="0.25">
      <c r="A24">
        <v>479</v>
      </c>
      <c r="B24" s="1">
        <v>45744</v>
      </c>
      <c r="C24" t="s">
        <v>58</v>
      </c>
      <c r="D24" t="s">
        <v>22</v>
      </c>
      <c r="E24">
        <v>33</v>
      </c>
      <c r="F24" t="s">
        <v>30</v>
      </c>
      <c r="G24" t="s">
        <v>43</v>
      </c>
      <c r="H24" t="s">
        <v>32</v>
      </c>
      <c r="I24">
        <v>4</v>
      </c>
      <c r="J24">
        <v>35</v>
      </c>
      <c r="K24">
        <v>140</v>
      </c>
      <c r="L24">
        <v>11.200000000000001</v>
      </c>
      <c r="M24">
        <v>128.80000000000001</v>
      </c>
      <c r="N24">
        <v>0.08</v>
      </c>
    </row>
    <row r="25" spans="1:14" x14ac:dyDescent="0.25">
      <c r="A25">
        <v>477</v>
      </c>
      <c r="B25" s="1">
        <v>45942</v>
      </c>
      <c r="C25" t="s">
        <v>60</v>
      </c>
      <c r="D25" t="s">
        <v>16</v>
      </c>
      <c r="E25">
        <v>38</v>
      </c>
      <c r="F25" t="s">
        <v>30</v>
      </c>
      <c r="G25" t="s">
        <v>45</v>
      </c>
      <c r="H25" t="s">
        <v>32</v>
      </c>
      <c r="I25">
        <v>1</v>
      </c>
      <c r="J25">
        <v>35</v>
      </c>
      <c r="K25">
        <v>35</v>
      </c>
      <c r="L25">
        <v>4.2</v>
      </c>
      <c r="M25">
        <v>30.8</v>
      </c>
      <c r="N25">
        <v>0.12000000000000001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25A3-522C-4EBB-B364-C27AB03481D7}">
  <dimension ref="A2:L24"/>
  <sheetViews>
    <sheetView topLeftCell="A5" workbookViewId="0">
      <selection activeCell="H17" sqref="H17"/>
    </sheetView>
  </sheetViews>
  <sheetFormatPr defaultRowHeight="15" x14ac:dyDescent="0.25"/>
  <cols>
    <col min="1" max="1" width="13.140625" bestFit="1" customWidth="1"/>
    <col min="2" max="2" width="19.140625" bestFit="1" customWidth="1"/>
    <col min="4" max="4" width="13.140625" bestFit="1" customWidth="1"/>
    <col min="5" max="5" width="15.42578125" bestFit="1" customWidth="1"/>
    <col min="6" max="6" width="9.42578125" bestFit="1" customWidth="1"/>
    <col min="7" max="7" width="7" bestFit="1" customWidth="1"/>
    <col min="8" max="8" width="19" customWidth="1"/>
    <col min="9" max="9" width="7.140625" bestFit="1" customWidth="1"/>
    <col min="10" max="10" width="11.28515625" bestFit="1" customWidth="1"/>
    <col min="12" max="12" width="25.85546875" customWidth="1"/>
  </cols>
  <sheetData>
    <row r="2" spans="1:12" x14ac:dyDescent="0.25">
      <c r="A2" s="12" t="s">
        <v>97</v>
      </c>
      <c r="B2" s="12"/>
      <c r="D2" s="12" t="s">
        <v>98</v>
      </c>
      <c r="E2" s="12"/>
      <c r="G2" s="13" t="s">
        <v>99</v>
      </c>
      <c r="H2" s="13"/>
      <c r="K2" s="13" t="s">
        <v>100</v>
      </c>
      <c r="L2" s="13"/>
    </row>
    <row r="3" spans="1:12" x14ac:dyDescent="0.25">
      <c r="A3" s="5" t="s">
        <v>74</v>
      </c>
      <c r="B3" t="s">
        <v>76</v>
      </c>
      <c r="D3" s="5" t="s">
        <v>74</v>
      </c>
      <c r="E3" t="s">
        <v>77</v>
      </c>
      <c r="G3" s="5" t="s">
        <v>74</v>
      </c>
      <c r="H3" t="s">
        <v>77</v>
      </c>
      <c r="K3" s="5" t="s">
        <v>74</v>
      </c>
      <c r="L3" t="s">
        <v>92</v>
      </c>
    </row>
    <row r="4" spans="1:12" x14ac:dyDescent="0.25">
      <c r="A4" s="6" t="s">
        <v>57</v>
      </c>
      <c r="B4" s="7">
        <v>7817.5</v>
      </c>
      <c r="D4" s="6" t="s">
        <v>35</v>
      </c>
      <c r="E4" s="7">
        <v>77</v>
      </c>
      <c r="G4" s="6" t="s">
        <v>22</v>
      </c>
      <c r="H4" s="10">
        <v>9.0579710144927536E-2</v>
      </c>
      <c r="K4" s="11" t="s">
        <v>93</v>
      </c>
      <c r="L4" s="7">
        <v>0</v>
      </c>
    </row>
    <row r="5" spans="1:12" x14ac:dyDescent="0.25">
      <c r="A5" s="6" t="s">
        <v>58</v>
      </c>
      <c r="B5" s="7">
        <v>6950.4999999999991</v>
      </c>
      <c r="D5" s="6" t="s">
        <v>33</v>
      </c>
      <c r="E5" s="7">
        <v>68</v>
      </c>
      <c r="G5" s="6" t="s">
        <v>16</v>
      </c>
      <c r="H5" s="10">
        <v>0.90942028985507251</v>
      </c>
      <c r="K5" s="11" t="s">
        <v>94</v>
      </c>
      <c r="L5" s="7">
        <v>1762.25</v>
      </c>
    </row>
    <row r="6" spans="1:12" x14ac:dyDescent="0.25">
      <c r="A6" s="6" t="s">
        <v>59</v>
      </c>
      <c r="B6" s="7">
        <v>6651.800000000002</v>
      </c>
      <c r="D6" s="6" t="s">
        <v>17</v>
      </c>
      <c r="E6" s="7">
        <v>58</v>
      </c>
      <c r="G6" s="6" t="s">
        <v>75</v>
      </c>
      <c r="H6" s="10">
        <v>1</v>
      </c>
      <c r="K6" s="11" t="s">
        <v>95</v>
      </c>
      <c r="L6" s="7">
        <v>624</v>
      </c>
    </row>
    <row r="7" spans="1:12" x14ac:dyDescent="0.25">
      <c r="A7" s="6" t="s">
        <v>60</v>
      </c>
      <c r="B7" s="7">
        <v>6233.95</v>
      </c>
      <c r="D7" s="6" t="s">
        <v>30</v>
      </c>
      <c r="E7" s="7">
        <v>58</v>
      </c>
      <c r="K7" s="11" t="s">
        <v>96</v>
      </c>
      <c r="L7" s="7">
        <v>800</v>
      </c>
    </row>
    <row r="8" spans="1:12" x14ac:dyDescent="0.25">
      <c r="A8" s="6" t="s">
        <v>75</v>
      </c>
      <c r="B8" s="7">
        <v>27653.75</v>
      </c>
      <c r="D8" s="6" t="s">
        <v>23</v>
      </c>
      <c r="E8" s="7">
        <v>15</v>
      </c>
      <c r="K8" s="11" t="s">
        <v>75</v>
      </c>
      <c r="L8" s="7">
        <v>3186.25</v>
      </c>
    </row>
    <row r="9" spans="1:12" x14ac:dyDescent="0.25">
      <c r="D9" s="6" t="s">
        <v>75</v>
      </c>
      <c r="E9" s="7">
        <v>276</v>
      </c>
    </row>
    <row r="11" spans="1:12" x14ac:dyDescent="0.25">
      <c r="A11" s="13" t="s">
        <v>101</v>
      </c>
      <c r="B11" s="13"/>
    </row>
    <row r="12" spans="1:12" x14ac:dyDescent="0.25">
      <c r="A12" s="5" t="s">
        <v>74</v>
      </c>
      <c r="B12" t="s">
        <v>76</v>
      </c>
      <c r="D12" s="12" t="s">
        <v>102</v>
      </c>
      <c r="E12" s="12"/>
      <c r="F12" s="12"/>
      <c r="G12" s="12"/>
      <c r="H12" s="12"/>
      <c r="I12" s="12"/>
      <c r="J12" s="12"/>
    </row>
    <row r="13" spans="1:12" x14ac:dyDescent="0.25">
      <c r="A13" s="6" t="s">
        <v>79</v>
      </c>
      <c r="B13" s="7">
        <v>2591.6</v>
      </c>
      <c r="D13" s="5" t="s">
        <v>90</v>
      </c>
      <c r="E13" s="5" t="s">
        <v>91</v>
      </c>
      <c r="F13" s="9"/>
      <c r="G13" s="9"/>
      <c r="H13" s="9"/>
      <c r="I13" s="9"/>
      <c r="J13" s="9"/>
    </row>
    <row r="14" spans="1:12" x14ac:dyDescent="0.25">
      <c r="A14" s="6" t="s">
        <v>80</v>
      </c>
      <c r="B14" s="7">
        <v>3657.5</v>
      </c>
      <c r="D14" s="5" t="s">
        <v>74</v>
      </c>
      <c r="E14" t="s">
        <v>35</v>
      </c>
      <c r="F14" t="s">
        <v>30</v>
      </c>
      <c r="G14" t="s">
        <v>23</v>
      </c>
      <c r="H14" t="s">
        <v>17</v>
      </c>
      <c r="I14" t="s">
        <v>33</v>
      </c>
      <c r="J14" t="s">
        <v>75</v>
      </c>
    </row>
    <row r="15" spans="1:12" x14ac:dyDescent="0.25">
      <c r="A15" s="6" t="s">
        <v>81</v>
      </c>
      <c r="B15" s="7">
        <v>2652.6000000000004</v>
      </c>
      <c r="D15" s="6">
        <v>1</v>
      </c>
      <c r="E15" s="7">
        <v>3</v>
      </c>
      <c r="F15" s="7">
        <v>6</v>
      </c>
      <c r="G15" s="7">
        <v>15</v>
      </c>
      <c r="H15" s="7">
        <v>4</v>
      </c>
      <c r="I15" s="7">
        <v>4</v>
      </c>
      <c r="J15" s="7">
        <v>32</v>
      </c>
    </row>
    <row r="16" spans="1:12" x14ac:dyDescent="0.25">
      <c r="A16" s="6" t="s">
        <v>82</v>
      </c>
      <c r="B16" s="7">
        <v>1535.65</v>
      </c>
      <c r="D16" s="6">
        <v>2</v>
      </c>
      <c r="E16" s="7">
        <v>4</v>
      </c>
      <c r="F16" s="7">
        <v>4</v>
      </c>
      <c r="G16" s="7"/>
      <c r="H16" s="7">
        <v>6</v>
      </c>
      <c r="I16" s="7">
        <v>5</v>
      </c>
      <c r="J16" s="7">
        <v>19</v>
      </c>
    </row>
    <row r="17" spans="1:10" x14ac:dyDescent="0.25">
      <c r="A17" s="6" t="s">
        <v>83</v>
      </c>
      <c r="B17" s="7">
        <v>3428.7000000000003</v>
      </c>
      <c r="D17" s="6">
        <v>3</v>
      </c>
      <c r="E17" s="7">
        <v>6</v>
      </c>
      <c r="F17" s="7">
        <v>7</v>
      </c>
      <c r="G17" s="7"/>
      <c r="H17" s="7">
        <v>4</v>
      </c>
      <c r="I17" s="7">
        <v>4</v>
      </c>
      <c r="J17" s="7">
        <v>21</v>
      </c>
    </row>
    <row r="18" spans="1:10" x14ac:dyDescent="0.25">
      <c r="A18" s="6" t="s">
        <v>84</v>
      </c>
      <c r="B18" s="7">
        <v>3508</v>
      </c>
      <c r="D18" s="6">
        <v>4</v>
      </c>
      <c r="E18" s="7">
        <v>7</v>
      </c>
      <c r="F18" s="7">
        <v>2</v>
      </c>
      <c r="G18" s="7"/>
      <c r="H18" s="7">
        <v>5</v>
      </c>
      <c r="I18" s="7">
        <v>8</v>
      </c>
      <c r="J18" s="7">
        <v>22</v>
      </c>
    </row>
    <row r="19" spans="1:10" x14ac:dyDescent="0.25">
      <c r="A19" s="6" t="s">
        <v>85</v>
      </c>
      <c r="B19" s="7">
        <v>2406.4500000000003</v>
      </c>
      <c r="D19" s="6">
        <v>5</v>
      </c>
      <c r="E19" s="7">
        <v>4</v>
      </c>
      <c r="F19" s="7">
        <v>3</v>
      </c>
      <c r="G19" s="7"/>
      <c r="H19" s="7">
        <v>2</v>
      </c>
      <c r="I19" s="7">
        <v>2</v>
      </c>
      <c r="J19" s="7">
        <v>11</v>
      </c>
    </row>
    <row r="20" spans="1:10" x14ac:dyDescent="0.25">
      <c r="A20" s="6" t="s">
        <v>86</v>
      </c>
      <c r="B20" s="7">
        <v>2468.9</v>
      </c>
      <c r="D20" s="6" t="s">
        <v>75</v>
      </c>
      <c r="E20" s="7">
        <v>24</v>
      </c>
      <c r="F20" s="7">
        <v>22</v>
      </c>
      <c r="G20" s="7">
        <v>15</v>
      </c>
      <c r="H20" s="7">
        <v>21</v>
      </c>
      <c r="I20" s="7">
        <v>23</v>
      </c>
      <c r="J20" s="7">
        <v>105</v>
      </c>
    </row>
    <row r="21" spans="1:10" x14ac:dyDescent="0.25">
      <c r="A21" s="6" t="s">
        <v>87</v>
      </c>
      <c r="B21" s="7">
        <v>962.1</v>
      </c>
    </row>
    <row r="22" spans="1:10" x14ac:dyDescent="0.25">
      <c r="A22" s="6" t="s">
        <v>88</v>
      </c>
      <c r="B22" s="7">
        <v>3403.1</v>
      </c>
    </row>
    <row r="23" spans="1:10" x14ac:dyDescent="0.25">
      <c r="A23" s="6" t="s">
        <v>89</v>
      </c>
      <c r="B23" s="7">
        <v>1039.1500000000001</v>
      </c>
    </row>
    <row r="24" spans="1:10" x14ac:dyDescent="0.25">
      <c r="A24" s="6" t="s">
        <v>75</v>
      </c>
      <c r="B24" s="7">
        <v>27653.750000000004</v>
      </c>
    </row>
  </sheetData>
  <mergeCells count="6">
    <mergeCell ref="D12:J12"/>
    <mergeCell ref="A2:B2"/>
    <mergeCell ref="D2:E2"/>
    <mergeCell ref="G2:H2"/>
    <mergeCell ref="K2:L2"/>
    <mergeCell ref="A11:B11"/>
  </mergeCells>
  <conditionalFormatting sqref="B3:B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{5F69A348-011A-4687-B14D-E7CE84D9E061}</x14:id>
        </ext>
      </extLst>
    </cfRule>
  </conditionalFormatting>
  <conditionalFormatting sqref="E3:E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{E1C8B3AB-EA75-4E90-BB96-3F85FA0A025F}</x14:id>
        </ext>
      </extLst>
    </cfRule>
  </conditionalFormatting>
  <conditionalFormatting sqref="H3:H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{6FC10C72-E18D-42B3-9C98-DD4C2BF1E0E3}</x14:id>
        </ext>
      </extLst>
    </cfRule>
  </conditionalFormatting>
  <conditionalFormatting sqref="L3:L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{8942CCEA-C70E-4E09-9D30-4E991E5EB635}</x14:id>
        </ext>
      </extLst>
    </cfRule>
  </conditionalFormatting>
  <conditionalFormatting sqref="F14:J2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{6BFDF973-39F8-4ADC-AED3-1A28A0EAFD11}</x14:id>
        </ext>
      </extLst>
    </cfRule>
  </conditionalFormatting>
  <conditionalFormatting sqref="D13:E1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{68369831-CE9B-4F82-AF27-1F8A2EF92C29}</x14:id>
        </ext>
      </extLst>
    </cfRule>
  </conditionalFormatting>
  <conditionalFormatting sqref="B12:B2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{E3F9539A-4923-4832-B08C-24F388B62AF0}</x14:id>
        </ext>
      </extLst>
    </cfRule>
  </conditionalFormatting>
  <pageMargins left="0.7" right="0.7" top="0.75" bottom="0.75" header="0.3" footer="0.3"/>
  <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69A348-011A-4687-B14D-E7CE84D9E0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B3:B8</xm:sqref>
        </x14:conditionalFormatting>
        <x14:conditionalFormatting xmlns:xm="http://schemas.microsoft.com/office/excel/2006/main">
          <x14:cfRule type="dataBar" id="{E1C8B3AB-EA75-4E90-BB96-3F85FA0A02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E3:E9</xm:sqref>
        </x14:conditionalFormatting>
        <x14:conditionalFormatting xmlns:xm="http://schemas.microsoft.com/office/excel/2006/main">
          <x14:cfRule type="dataBar" id="{6FC10C72-E18D-42B3-9C98-DD4C2BF1E0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H3:H6</xm:sqref>
        </x14:conditionalFormatting>
        <x14:conditionalFormatting xmlns:xm="http://schemas.microsoft.com/office/excel/2006/main">
          <x14:cfRule type="dataBar" id="{8942CCEA-C70E-4E09-9D30-4E991E5EB6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L3:L8</xm:sqref>
        </x14:conditionalFormatting>
        <x14:conditionalFormatting xmlns:xm="http://schemas.microsoft.com/office/excel/2006/main">
          <x14:cfRule type="dataBar" id="{6BFDF973-39F8-4ADC-AED3-1A28A0EAFD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F14:J20</xm:sqref>
        </x14:conditionalFormatting>
        <x14:conditionalFormatting xmlns:xm="http://schemas.microsoft.com/office/excel/2006/main">
          <x14:cfRule type="dataBar" id="{68369831-CE9B-4F82-AF27-1F8A2EF92C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D13:E19</xm:sqref>
        </x14:conditionalFormatting>
        <x14:conditionalFormatting xmlns:xm="http://schemas.microsoft.com/office/excel/2006/main">
          <x14:cfRule type="dataBar" id="{E3F9539A-4923-4832-B08C-24F388B62A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B12:B24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1D11-5857-466F-996D-99D4C5A1DAAC}">
  <dimension ref="A1:T106"/>
  <sheetViews>
    <sheetView tabSelected="1" topLeftCell="H1" workbookViewId="0">
      <selection activeCell="O2" sqref="O2"/>
    </sheetView>
  </sheetViews>
  <sheetFormatPr defaultRowHeight="15" x14ac:dyDescent="0.25"/>
  <cols>
    <col min="1" max="1" width="10.5703125" bestFit="1" customWidth="1"/>
    <col min="2" max="2" width="10.7109375" bestFit="1" customWidth="1"/>
    <col min="3" max="3" width="17.42578125" bestFit="1" customWidth="1"/>
    <col min="4" max="4" width="10" bestFit="1" customWidth="1"/>
    <col min="5" max="5" width="6.7109375" bestFit="1" customWidth="1"/>
    <col min="6" max="6" width="10.140625" bestFit="1" customWidth="1"/>
    <col min="7" max="7" width="16.7109375" bestFit="1" customWidth="1"/>
    <col min="8" max="8" width="11.28515625" bestFit="1" customWidth="1"/>
    <col min="9" max="9" width="11" bestFit="1" customWidth="1"/>
    <col min="10" max="10" width="7.7109375" bestFit="1" customWidth="1"/>
    <col min="11" max="11" width="11.140625" bestFit="1" customWidth="1"/>
    <col min="12" max="12" width="11" bestFit="1" customWidth="1"/>
    <col min="13" max="13" width="14.5703125" bestFit="1" customWidth="1"/>
    <col min="14" max="14" width="13" style="4" bestFit="1" customWidth="1"/>
    <col min="16" max="16" width="13.42578125" customWidth="1"/>
    <col min="17" max="17" width="12.5703125" customWidth="1"/>
    <col min="19" max="19" width="20.140625" customWidth="1"/>
    <col min="20" max="20" width="30.5703125" customWidth="1"/>
  </cols>
  <sheetData>
    <row r="1" spans="1:20" ht="15.75" thickBot="1" x14ac:dyDescent="0.3">
      <c r="A1" t="s">
        <v>0</v>
      </c>
      <c r="B1" t="s">
        <v>1</v>
      </c>
      <c r="C1" t="s">
        <v>55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4" t="s">
        <v>56</v>
      </c>
    </row>
    <row r="2" spans="1:20" x14ac:dyDescent="0.25">
      <c r="A2">
        <v>450</v>
      </c>
      <c r="B2" s="1">
        <v>45736</v>
      </c>
      <c r="C2" t="s">
        <v>57</v>
      </c>
      <c r="D2" t="s">
        <v>16</v>
      </c>
      <c r="E2">
        <v>53</v>
      </c>
      <c r="F2" t="s">
        <v>17</v>
      </c>
      <c r="G2" t="s">
        <v>18</v>
      </c>
      <c r="H2" t="s">
        <v>19</v>
      </c>
      <c r="I2">
        <v>3</v>
      </c>
      <c r="J2">
        <v>200</v>
      </c>
      <c r="K2">
        <v>600</v>
      </c>
      <c r="L2">
        <v>36</v>
      </c>
      <c r="M2">
        <v>564</v>
      </c>
      <c r="N2" s="4">
        <v>0.06</v>
      </c>
      <c r="P2" s="3" t="s">
        <v>12</v>
      </c>
      <c r="Q2" s="3"/>
      <c r="S2" s="3" t="s">
        <v>13</v>
      </c>
      <c r="T2" s="3"/>
    </row>
    <row r="3" spans="1:20" x14ac:dyDescent="0.25">
      <c r="A3">
        <v>451</v>
      </c>
      <c r="B3" s="1">
        <v>45704</v>
      </c>
      <c r="C3" t="s">
        <v>58</v>
      </c>
      <c r="D3" t="s">
        <v>22</v>
      </c>
      <c r="E3">
        <v>37</v>
      </c>
      <c r="F3" t="s">
        <v>23</v>
      </c>
      <c r="G3" t="s">
        <v>18</v>
      </c>
      <c r="H3" t="s">
        <v>19</v>
      </c>
      <c r="I3">
        <v>1</v>
      </c>
      <c r="J3">
        <v>800</v>
      </c>
      <c r="K3">
        <v>800</v>
      </c>
      <c r="L3">
        <v>0</v>
      </c>
      <c r="M3">
        <v>800</v>
      </c>
      <c r="N3" s="4">
        <v>0</v>
      </c>
    </row>
    <row r="4" spans="1:20" x14ac:dyDescent="0.25">
      <c r="A4">
        <v>452</v>
      </c>
      <c r="B4" s="1">
        <v>45935</v>
      </c>
      <c r="C4" t="s">
        <v>59</v>
      </c>
      <c r="D4" t="s">
        <v>16</v>
      </c>
      <c r="E4">
        <v>55</v>
      </c>
      <c r="F4" t="s">
        <v>17</v>
      </c>
      <c r="G4" t="s">
        <v>38</v>
      </c>
      <c r="H4" t="s">
        <v>19</v>
      </c>
      <c r="I4">
        <v>2</v>
      </c>
      <c r="J4">
        <v>200</v>
      </c>
      <c r="K4">
        <v>400</v>
      </c>
      <c r="L4">
        <v>56.000000000000007</v>
      </c>
      <c r="M4">
        <v>344</v>
      </c>
      <c r="N4" s="4">
        <v>0.14000000000000001</v>
      </c>
      <c r="P4" t="s">
        <v>61</v>
      </c>
      <c r="Q4">
        <v>30.345238095238091</v>
      </c>
      <c r="S4" t="s">
        <v>61</v>
      </c>
      <c r="T4">
        <v>263.36904761904759</v>
      </c>
    </row>
    <row r="5" spans="1:20" x14ac:dyDescent="0.25">
      <c r="A5">
        <v>453</v>
      </c>
      <c r="B5" s="1">
        <v>45860</v>
      </c>
      <c r="C5" t="s">
        <v>60</v>
      </c>
      <c r="D5" t="s">
        <v>16</v>
      </c>
      <c r="E5">
        <v>65</v>
      </c>
      <c r="F5" t="s">
        <v>30</v>
      </c>
      <c r="G5" t="s">
        <v>38</v>
      </c>
      <c r="H5" t="s">
        <v>32</v>
      </c>
      <c r="I5">
        <v>3</v>
      </c>
      <c r="J5">
        <v>35</v>
      </c>
      <c r="K5">
        <v>105</v>
      </c>
      <c r="L5">
        <v>0</v>
      </c>
      <c r="M5">
        <v>105</v>
      </c>
      <c r="N5" s="4">
        <v>0</v>
      </c>
      <c r="P5" t="s">
        <v>62</v>
      </c>
      <c r="Q5">
        <v>6.496706390253312</v>
      </c>
      <c r="S5" t="s">
        <v>62</v>
      </c>
      <c r="T5">
        <v>26.137419970262965</v>
      </c>
    </row>
    <row r="6" spans="1:20" x14ac:dyDescent="0.25">
      <c r="A6">
        <v>454</v>
      </c>
      <c r="B6" s="1">
        <v>45842</v>
      </c>
      <c r="C6" t="s">
        <v>57</v>
      </c>
      <c r="D6" t="s">
        <v>16</v>
      </c>
      <c r="E6">
        <v>41</v>
      </c>
      <c r="F6" t="s">
        <v>33</v>
      </c>
      <c r="G6" t="s">
        <v>38</v>
      </c>
      <c r="H6" t="s">
        <v>32</v>
      </c>
      <c r="I6">
        <v>4</v>
      </c>
      <c r="J6">
        <v>20</v>
      </c>
      <c r="K6">
        <v>80</v>
      </c>
      <c r="L6">
        <v>7.1999999999999993</v>
      </c>
      <c r="M6">
        <v>72.8</v>
      </c>
      <c r="N6" s="4">
        <v>0.09</v>
      </c>
      <c r="P6" t="s">
        <v>63</v>
      </c>
      <c r="Q6">
        <v>8</v>
      </c>
      <c r="S6" t="s">
        <v>63</v>
      </c>
      <c r="T6">
        <v>142.5</v>
      </c>
    </row>
    <row r="7" spans="1:20" x14ac:dyDescent="0.25">
      <c r="A7">
        <v>455</v>
      </c>
      <c r="B7" s="1">
        <v>45731</v>
      </c>
      <c r="C7" t="s">
        <v>58</v>
      </c>
      <c r="D7" t="s">
        <v>16</v>
      </c>
      <c r="E7">
        <v>22</v>
      </c>
      <c r="F7" t="s">
        <v>35</v>
      </c>
      <c r="G7" t="s">
        <v>45</v>
      </c>
      <c r="H7" t="s">
        <v>32</v>
      </c>
      <c r="I7">
        <v>2</v>
      </c>
      <c r="J7">
        <v>50</v>
      </c>
      <c r="K7">
        <v>100</v>
      </c>
      <c r="L7">
        <v>4</v>
      </c>
      <c r="M7">
        <v>96</v>
      </c>
      <c r="N7" s="4">
        <v>0.04</v>
      </c>
      <c r="P7" t="s">
        <v>64</v>
      </c>
      <c r="Q7">
        <v>0</v>
      </c>
      <c r="S7" t="s">
        <v>64</v>
      </c>
      <c r="T7">
        <v>800</v>
      </c>
    </row>
    <row r="8" spans="1:20" x14ac:dyDescent="0.25">
      <c r="A8">
        <v>453</v>
      </c>
      <c r="B8" s="1">
        <v>45860</v>
      </c>
      <c r="C8" t="s">
        <v>60</v>
      </c>
      <c r="D8" t="s">
        <v>16</v>
      </c>
      <c r="E8">
        <v>65</v>
      </c>
      <c r="F8" t="s">
        <v>30</v>
      </c>
      <c r="G8" t="s">
        <v>38</v>
      </c>
      <c r="H8" t="s">
        <v>32</v>
      </c>
      <c r="I8">
        <v>3</v>
      </c>
      <c r="J8">
        <v>35</v>
      </c>
      <c r="K8">
        <v>105</v>
      </c>
      <c r="L8">
        <v>6.3</v>
      </c>
      <c r="M8">
        <v>98.7</v>
      </c>
      <c r="N8" s="4">
        <v>0.06</v>
      </c>
      <c r="P8" t="s">
        <v>65</v>
      </c>
      <c r="Q8">
        <v>66.571430521820787</v>
      </c>
      <c r="S8" t="s">
        <v>65</v>
      </c>
      <c r="T8">
        <v>267.82885558449379</v>
      </c>
    </row>
    <row r="9" spans="1:20" x14ac:dyDescent="0.25">
      <c r="A9">
        <v>456</v>
      </c>
      <c r="B9" s="1">
        <v>45771</v>
      </c>
      <c r="C9" t="s">
        <v>59</v>
      </c>
      <c r="D9" t="s">
        <v>22</v>
      </c>
      <c r="E9">
        <v>46</v>
      </c>
      <c r="F9" t="s">
        <v>23</v>
      </c>
      <c r="G9" t="s">
        <v>18</v>
      </c>
      <c r="H9" t="s">
        <v>19</v>
      </c>
      <c r="I9">
        <v>1</v>
      </c>
      <c r="J9">
        <v>800</v>
      </c>
      <c r="K9">
        <v>800</v>
      </c>
      <c r="L9">
        <v>0</v>
      </c>
      <c r="M9">
        <v>800</v>
      </c>
      <c r="N9" s="4">
        <v>0</v>
      </c>
      <c r="P9" t="s">
        <v>66</v>
      </c>
      <c r="Q9">
        <v>4431.7553617216117</v>
      </c>
      <c r="S9" t="s">
        <v>66</v>
      </c>
      <c r="T9">
        <v>71732.29588369964</v>
      </c>
    </row>
    <row r="10" spans="1:20" x14ac:dyDescent="0.25">
      <c r="A10">
        <v>457</v>
      </c>
      <c r="B10" s="1">
        <v>45831</v>
      </c>
      <c r="C10" t="s">
        <v>60</v>
      </c>
      <c r="D10" t="s">
        <v>16</v>
      </c>
      <c r="E10">
        <v>22</v>
      </c>
      <c r="F10" t="s">
        <v>35</v>
      </c>
      <c r="G10" t="s">
        <v>38</v>
      </c>
      <c r="H10" t="s">
        <v>32</v>
      </c>
      <c r="I10">
        <v>2</v>
      </c>
      <c r="J10">
        <v>50</v>
      </c>
      <c r="K10">
        <v>100</v>
      </c>
      <c r="L10">
        <v>10</v>
      </c>
      <c r="M10">
        <v>90</v>
      </c>
      <c r="N10" s="4">
        <v>0.1</v>
      </c>
      <c r="P10" t="s">
        <v>67</v>
      </c>
      <c r="Q10">
        <v>18.3326320429871</v>
      </c>
      <c r="S10" t="s">
        <v>67</v>
      </c>
      <c r="T10">
        <v>-0.21619380722084225</v>
      </c>
    </row>
    <row r="11" spans="1:20" x14ac:dyDescent="0.25">
      <c r="A11">
        <v>458</v>
      </c>
      <c r="B11" s="1">
        <v>45889</v>
      </c>
      <c r="C11" t="s">
        <v>57</v>
      </c>
      <c r="D11" t="s">
        <v>16</v>
      </c>
      <c r="E11">
        <v>24</v>
      </c>
      <c r="F11" t="s">
        <v>23</v>
      </c>
      <c r="G11" t="s">
        <v>38</v>
      </c>
      <c r="H11" t="s">
        <v>19</v>
      </c>
      <c r="I11">
        <v>1</v>
      </c>
      <c r="J11">
        <v>800</v>
      </c>
      <c r="K11">
        <v>800</v>
      </c>
      <c r="L11">
        <v>0</v>
      </c>
      <c r="M11">
        <v>800</v>
      </c>
      <c r="N11" s="4">
        <v>0</v>
      </c>
      <c r="P11" t="s">
        <v>68</v>
      </c>
      <c r="Q11">
        <v>4.0209859965275516</v>
      </c>
      <c r="S11" t="s">
        <v>68</v>
      </c>
      <c r="T11">
        <v>1.119058031322778</v>
      </c>
    </row>
    <row r="12" spans="1:20" x14ac:dyDescent="0.25">
      <c r="A12">
        <v>460</v>
      </c>
      <c r="B12" s="1">
        <v>45661</v>
      </c>
      <c r="C12" t="s">
        <v>58</v>
      </c>
      <c r="D12" t="s">
        <v>16</v>
      </c>
      <c r="E12">
        <v>57</v>
      </c>
      <c r="F12" t="s">
        <v>30</v>
      </c>
      <c r="G12" t="s">
        <v>38</v>
      </c>
      <c r="H12" t="s">
        <v>32</v>
      </c>
      <c r="I12">
        <v>2</v>
      </c>
      <c r="J12">
        <v>35</v>
      </c>
      <c r="K12">
        <v>70</v>
      </c>
      <c r="L12">
        <v>4.2</v>
      </c>
      <c r="M12">
        <v>65.8</v>
      </c>
      <c r="N12" s="4">
        <v>6.0000000000000005E-2</v>
      </c>
      <c r="P12" t="s">
        <v>69</v>
      </c>
      <c r="Q12">
        <v>416</v>
      </c>
      <c r="S12" t="s">
        <v>69</v>
      </c>
      <c r="T12">
        <v>913</v>
      </c>
    </row>
    <row r="13" spans="1:20" x14ac:dyDescent="0.25">
      <c r="A13">
        <v>461</v>
      </c>
      <c r="B13" s="1">
        <v>45937</v>
      </c>
      <c r="C13" t="s">
        <v>59</v>
      </c>
      <c r="D13" t="s">
        <v>16</v>
      </c>
      <c r="E13">
        <v>41</v>
      </c>
      <c r="F13" t="s">
        <v>23</v>
      </c>
      <c r="G13" t="s">
        <v>38</v>
      </c>
      <c r="H13" t="s">
        <v>19</v>
      </c>
      <c r="I13">
        <v>1</v>
      </c>
      <c r="J13">
        <v>800</v>
      </c>
      <c r="K13">
        <v>800</v>
      </c>
      <c r="L13">
        <v>0</v>
      </c>
      <c r="M13">
        <v>800</v>
      </c>
      <c r="N13" s="4">
        <v>0</v>
      </c>
      <c r="P13" t="s">
        <v>70</v>
      </c>
      <c r="Q13">
        <v>0</v>
      </c>
      <c r="S13" t="s">
        <v>70</v>
      </c>
      <c r="T13">
        <v>17</v>
      </c>
    </row>
    <row r="14" spans="1:20" x14ac:dyDescent="0.25">
      <c r="A14">
        <v>462</v>
      </c>
      <c r="B14" s="1">
        <v>45903</v>
      </c>
      <c r="C14" t="s">
        <v>60</v>
      </c>
      <c r="D14" t="s">
        <v>16</v>
      </c>
      <c r="E14">
        <v>57</v>
      </c>
      <c r="F14" t="s">
        <v>33</v>
      </c>
      <c r="G14" t="s">
        <v>18</v>
      </c>
      <c r="H14" t="s">
        <v>32</v>
      </c>
      <c r="I14">
        <v>2</v>
      </c>
      <c r="J14">
        <v>20</v>
      </c>
      <c r="K14">
        <v>40</v>
      </c>
      <c r="L14">
        <v>5.6000000000000005</v>
      </c>
      <c r="M14">
        <v>34.4</v>
      </c>
      <c r="N14" s="4">
        <v>0.14000000000000001</v>
      </c>
      <c r="P14" t="s">
        <v>71</v>
      </c>
      <c r="Q14">
        <v>416</v>
      </c>
      <c r="S14" t="s">
        <v>71</v>
      </c>
      <c r="T14">
        <v>930</v>
      </c>
    </row>
    <row r="15" spans="1:20" x14ac:dyDescent="0.25">
      <c r="A15">
        <v>462</v>
      </c>
      <c r="B15" s="1">
        <v>45903</v>
      </c>
      <c r="C15" t="s">
        <v>60</v>
      </c>
      <c r="D15" t="s">
        <v>16</v>
      </c>
      <c r="E15">
        <v>57</v>
      </c>
      <c r="F15" t="s">
        <v>33</v>
      </c>
      <c r="G15" t="s">
        <v>18</v>
      </c>
      <c r="H15" t="s">
        <v>32</v>
      </c>
      <c r="I15">
        <v>2</v>
      </c>
      <c r="J15">
        <v>20</v>
      </c>
      <c r="K15">
        <v>40</v>
      </c>
      <c r="L15">
        <v>0.4</v>
      </c>
      <c r="M15">
        <v>39.6</v>
      </c>
      <c r="N15" s="4">
        <v>0.01</v>
      </c>
      <c r="P15" t="s">
        <v>72</v>
      </c>
      <c r="Q15">
        <v>3186.2499999999995</v>
      </c>
      <c r="S15" t="s">
        <v>72</v>
      </c>
      <c r="T15">
        <v>27653.75</v>
      </c>
    </row>
    <row r="16" spans="1:20" ht="15.75" thickBot="1" x14ac:dyDescent="0.3">
      <c r="A16">
        <v>463</v>
      </c>
      <c r="B16" s="1">
        <v>45678</v>
      </c>
      <c r="C16" t="s">
        <v>57</v>
      </c>
      <c r="D16" t="s">
        <v>16</v>
      </c>
      <c r="E16">
        <v>47</v>
      </c>
      <c r="F16" t="s">
        <v>35</v>
      </c>
      <c r="G16" t="s">
        <v>38</v>
      </c>
      <c r="H16" t="s">
        <v>32</v>
      </c>
      <c r="I16">
        <v>1</v>
      </c>
      <c r="J16">
        <v>50</v>
      </c>
      <c r="K16">
        <v>50</v>
      </c>
      <c r="L16">
        <v>1</v>
      </c>
      <c r="M16">
        <v>49</v>
      </c>
      <c r="N16" s="4">
        <v>0.02</v>
      </c>
      <c r="P16" s="2" t="s">
        <v>73</v>
      </c>
      <c r="Q16" s="2">
        <v>105</v>
      </c>
      <c r="S16" s="2" t="s">
        <v>73</v>
      </c>
      <c r="T16" s="2">
        <v>105</v>
      </c>
    </row>
    <row r="17" spans="1:14" x14ac:dyDescent="0.25">
      <c r="A17">
        <v>464</v>
      </c>
      <c r="B17" s="1">
        <v>45686</v>
      </c>
      <c r="C17" t="s">
        <v>58</v>
      </c>
      <c r="D17" t="s">
        <v>16</v>
      </c>
      <c r="E17">
        <v>51</v>
      </c>
      <c r="F17" t="s">
        <v>33</v>
      </c>
      <c r="G17" t="s">
        <v>38</v>
      </c>
      <c r="H17" t="s">
        <v>32</v>
      </c>
      <c r="I17">
        <v>4</v>
      </c>
      <c r="J17">
        <v>20</v>
      </c>
      <c r="K17">
        <v>80</v>
      </c>
      <c r="L17">
        <v>7.1999999999999993</v>
      </c>
      <c r="M17">
        <v>72.8</v>
      </c>
      <c r="N17" s="4">
        <v>0.09</v>
      </c>
    </row>
    <row r="18" spans="1:14" x14ac:dyDescent="0.25">
      <c r="A18">
        <v>465</v>
      </c>
      <c r="B18" s="1">
        <v>45788</v>
      </c>
      <c r="C18" t="s">
        <v>59</v>
      </c>
      <c r="D18" t="s">
        <v>16</v>
      </c>
      <c r="E18">
        <v>55</v>
      </c>
      <c r="F18" t="s">
        <v>35</v>
      </c>
      <c r="G18" t="s">
        <v>38</v>
      </c>
      <c r="H18" t="s">
        <v>32</v>
      </c>
      <c r="I18">
        <v>4</v>
      </c>
      <c r="J18">
        <v>50</v>
      </c>
      <c r="K18">
        <v>200</v>
      </c>
      <c r="L18">
        <v>2</v>
      </c>
      <c r="M18">
        <v>198</v>
      </c>
      <c r="N18" s="4">
        <v>0.01</v>
      </c>
    </row>
    <row r="19" spans="1:14" x14ac:dyDescent="0.25">
      <c r="A19">
        <v>466</v>
      </c>
      <c r="B19" s="1">
        <v>45810</v>
      </c>
      <c r="C19" t="s">
        <v>60</v>
      </c>
      <c r="D19" t="s">
        <v>16</v>
      </c>
      <c r="E19">
        <v>30</v>
      </c>
      <c r="F19" t="s">
        <v>33</v>
      </c>
      <c r="G19" t="s">
        <v>18</v>
      </c>
      <c r="H19" t="s">
        <v>32</v>
      </c>
      <c r="I19">
        <v>1</v>
      </c>
      <c r="J19">
        <v>20</v>
      </c>
      <c r="K19">
        <v>20</v>
      </c>
      <c r="L19">
        <v>1.4000000000000001</v>
      </c>
      <c r="M19">
        <v>18.600000000000001</v>
      </c>
      <c r="N19" s="4">
        <v>7.0000000000000007E-2</v>
      </c>
    </row>
    <row r="20" spans="1:14" x14ac:dyDescent="0.25">
      <c r="A20">
        <v>467</v>
      </c>
      <c r="B20" s="1">
        <v>45767</v>
      </c>
      <c r="C20" t="s">
        <v>57</v>
      </c>
      <c r="D20" t="s">
        <v>16</v>
      </c>
      <c r="E20">
        <v>30</v>
      </c>
      <c r="F20" t="s">
        <v>33</v>
      </c>
      <c r="G20" t="s">
        <v>38</v>
      </c>
      <c r="H20" t="s">
        <v>32</v>
      </c>
      <c r="I20">
        <v>1</v>
      </c>
      <c r="J20">
        <v>20</v>
      </c>
      <c r="K20">
        <v>20</v>
      </c>
      <c r="L20">
        <v>3</v>
      </c>
      <c r="M20">
        <v>17</v>
      </c>
      <c r="N20" s="4">
        <v>0.15</v>
      </c>
    </row>
    <row r="21" spans="1:14" x14ac:dyDescent="0.25">
      <c r="A21">
        <v>470</v>
      </c>
      <c r="B21" s="1">
        <v>45833</v>
      </c>
      <c r="C21" t="s">
        <v>58</v>
      </c>
      <c r="D21" t="s">
        <v>16</v>
      </c>
      <c r="E21">
        <v>20</v>
      </c>
      <c r="F21" t="s">
        <v>35</v>
      </c>
      <c r="G21" t="s">
        <v>38</v>
      </c>
      <c r="H21" t="s">
        <v>32</v>
      </c>
      <c r="I21">
        <v>1</v>
      </c>
      <c r="J21">
        <v>50</v>
      </c>
      <c r="K21">
        <v>50</v>
      </c>
      <c r="L21">
        <v>5</v>
      </c>
      <c r="M21">
        <v>45</v>
      </c>
      <c r="N21" s="4">
        <v>0.1</v>
      </c>
    </row>
    <row r="22" spans="1:14" x14ac:dyDescent="0.25">
      <c r="A22">
        <v>471</v>
      </c>
      <c r="B22" s="1">
        <v>45755</v>
      </c>
      <c r="C22" t="s">
        <v>59</v>
      </c>
      <c r="D22" t="s">
        <v>16</v>
      </c>
      <c r="E22">
        <v>27</v>
      </c>
      <c r="F22" t="s">
        <v>35</v>
      </c>
      <c r="G22" t="s">
        <v>38</v>
      </c>
      <c r="H22" t="s">
        <v>32</v>
      </c>
      <c r="I22">
        <v>5</v>
      </c>
      <c r="J22">
        <v>50</v>
      </c>
      <c r="K22">
        <v>250</v>
      </c>
      <c r="L22">
        <v>5</v>
      </c>
      <c r="M22">
        <v>245</v>
      </c>
      <c r="N22" s="4">
        <v>0.02</v>
      </c>
    </row>
    <row r="23" spans="1:14" x14ac:dyDescent="0.25">
      <c r="A23">
        <v>472</v>
      </c>
      <c r="B23" s="1">
        <v>45866</v>
      </c>
      <c r="C23" t="s">
        <v>60</v>
      </c>
      <c r="D23" t="s">
        <v>16</v>
      </c>
      <c r="E23">
        <v>38</v>
      </c>
      <c r="F23" t="s">
        <v>33</v>
      </c>
      <c r="G23" t="s">
        <v>38</v>
      </c>
      <c r="H23" t="s">
        <v>32</v>
      </c>
      <c r="I23">
        <v>3</v>
      </c>
      <c r="J23">
        <v>20</v>
      </c>
      <c r="K23">
        <v>60</v>
      </c>
      <c r="L23">
        <v>5.3999999999999995</v>
      </c>
      <c r="M23">
        <v>54.6</v>
      </c>
      <c r="N23" s="4">
        <v>0.09</v>
      </c>
    </row>
    <row r="24" spans="1:14" x14ac:dyDescent="0.25">
      <c r="A24">
        <v>472</v>
      </c>
      <c r="B24" s="1">
        <v>45866</v>
      </c>
      <c r="C24" t="s">
        <v>60</v>
      </c>
      <c r="D24" t="s">
        <v>16</v>
      </c>
      <c r="E24">
        <v>38</v>
      </c>
      <c r="F24" t="s">
        <v>33</v>
      </c>
      <c r="G24" t="s">
        <v>38</v>
      </c>
      <c r="H24" t="s">
        <v>32</v>
      </c>
      <c r="I24">
        <v>3</v>
      </c>
      <c r="J24">
        <v>20</v>
      </c>
      <c r="K24">
        <v>60</v>
      </c>
      <c r="L24">
        <v>4.2</v>
      </c>
      <c r="M24">
        <v>55.8</v>
      </c>
      <c r="N24" s="4">
        <v>7.0000000000000007E-2</v>
      </c>
    </row>
    <row r="25" spans="1:14" x14ac:dyDescent="0.25">
      <c r="A25">
        <v>473</v>
      </c>
      <c r="B25" s="1">
        <v>45705</v>
      </c>
      <c r="C25" t="s">
        <v>57</v>
      </c>
      <c r="D25" t="s">
        <v>22</v>
      </c>
      <c r="E25">
        <v>60</v>
      </c>
      <c r="F25" t="s">
        <v>35</v>
      </c>
      <c r="G25" t="s">
        <v>18</v>
      </c>
      <c r="H25" t="s">
        <v>32</v>
      </c>
      <c r="I25">
        <v>4</v>
      </c>
      <c r="J25">
        <v>50</v>
      </c>
      <c r="K25">
        <v>200</v>
      </c>
      <c r="L25">
        <v>14.000000000000002</v>
      </c>
      <c r="M25">
        <v>186</v>
      </c>
      <c r="N25" s="4">
        <v>7.0000000000000007E-2</v>
      </c>
    </row>
    <row r="26" spans="1:14" x14ac:dyDescent="0.25">
      <c r="A26">
        <v>474</v>
      </c>
      <c r="B26" s="1">
        <v>45973</v>
      </c>
      <c r="C26" t="s">
        <v>58</v>
      </c>
      <c r="D26" t="s">
        <v>16</v>
      </c>
      <c r="E26">
        <v>50</v>
      </c>
      <c r="F26" t="s">
        <v>33</v>
      </c>
      <c r="G26" t="s">
        <v>38</v>
      </c>
      <c r="H26" t="s">
        <v>32</v>
      </c>
      <c r="I26">
        <v>4</v>
      </c>
      <c r="J26">
        <v>20</v>
      </c>
      <c r="K26">
        <v>80</v>
      </c>
      <c r="L26">
        <v>4.8</v>
      </c>
      <c r="M26">
        <v>75.2</v>
      </c>
      <c r="N26" s="4">
        <v>0.06</v>
      </c>
    </row>
    <row r="27" spans="1:14" x14ac:dyDescent="0.25">
      <c r="A27">
        <v>475</v>
      </c>
      <c r="B27" s="1">
        <v>45690</v>
      </c>
      <c r="C27" t="s">
        <v>59</v>
      </c>
      <c r="D27" t="s">
        <v>16</v>
      </c>
      <c r="E27">
        <v>67</v>
      </c>
      <c r="F27" t="s">
        <v>23</v>
      </c>
      <c r="G27" t="s">
        <v>18</v>
      </c>
      <c r="H27" t="s">
        <v>19</v>
      </c>
      <c r="I27">
        <v>1</v>
      </c>
      <c r="J27">
        <v>800</v>
      </c>
      <c r="K27">
        <v>800</v>
      </c>
      <c r="L27">
        <v>0</v>
      </c>
      <c r="M27">
        <v>800</v>
      </c>
      <c r="N27" s="4">
        <v>0</v>
      </c>
    </row>
    <row r="28" spans="1:14" x14ac:dyDescent="0.25">
      <c r="A28">
        <v>477</v>
      </c>
      <c r="B28" s="1">
        <v>45942</v>
      </c>
      <c r="C28" t="s">
        <v>60</v>
      </c>
      <c r="D28" t="s">
        <v>16</v>
      </c>
      <c r="E28">
        <v>38</v>
      </c>
      <c r="F28" t="s">
        <v>30</v>
      </c>
      <c r="G28" t="s">
        <v>45</v>
      </c>
      <c r="H28" t="s">
        <v>32</v>
      </c>
      <c r="I28">
        <v>1</v>
      </c>
      <c r="J28">
        <v>35</v>
      </c>
      <c r="K28">
        <v>35</v>
      </c>
      <c r="L28">
        <v>4.2</v>
      </c>
      <c r="M28">
        <v>30.8</v>
      </c>
      <c r="N28" s="4">
        <v>0.12000000000000001</v>
      </c>
    </row>
    <row r="29" spans="1:14" x14ac:dyDescent="0.25">
      <c r="A29">
        <v>478</v>
      </c>
      <c r="B29" s="1">
        <v>45896</v>
      </c>
      <c r="C29" t="s">
        <v>57</v>
      </c>
      <c r="D29" t="s">
        <v>16</v>
      </c>
      <c r="E29">
        <v>68</v>
      </c>
      <c r="F29" t="s">
        <v>35</v>
      </c>
      <c r="G29" t="s">
        <v>45</v>
      </c>
      <c r="H29" t="s">
        <v>32</v>
      </c>
      <c r="I29">
        <v>5</v>
      </c>
      <c r="J29">
        <v>50</v>
      </c>
      <c r="K29">
        <v>250</v>
      </c>
      <c r="L29">
        <v>25</v>
      </c>
      <c r="M29">
        <v>225</v>
      </c>
      <c r="N29" s="4">
        <v>0.1</v>
      </c>
    </row>
    <row r="30" spans="1:14" x14ac:dyDescent="0.25">
      <c r="A30">
        <v>479</v>
      </c>
      <c r="B30" s="1">
        <v>45744</v>
      </c>
      <c r="C30" t="s">
        <v>58</v>
      </c>
      <c r="D30" t="s">
        <v>22</v>
      </c>
      <c r="E30">
        <v>33</v>
      </c>
      <c r="F30" t="s">
        <v>30</v>
      </c>
      <c r="G30" t="s">
        <v>43</v>
      </c>
      <c r="H30" t="s">
        <v>32</v>
      </c>
      <c r="I30">
        <v>4</v>
      </c>
      <c r="J30">
        <v>35</v>
      </c>
      <c r="K30">
        <v>140</v>
      </c>
      <c r="L30">
        <v>11.200000000000001</v>
      </c>
      <c r="M30">
        <v>128.80000000000001</v>
      </c>
      <c r="N30" s="4">
        <v>0.08</v>
      </c>
    </row>
    <row r="31" spans="1:14" x14ac:dyDescent="0.25">
      <c r="A31">
        <v>480</v>
      </c>
      <c r="B31" s="1">
        <v>45678</v>
      </c>
      <c r="C31" t="s">
        <v>59</v>
      </c>
      <c r="D31" t="s">
        <v>16</v>
      </c>
      <c r="E31">
        <v>25</v>
      </c>
      <c r="F31" t="s">
        <v>35</v>
      </c>
      <c r="G31" t="s">
        <v>18</v>
      </c>
      <c r="H31" t="s">
        <v>32</v>
      </c>
      <c r="I31">
        <v>3</v>
      </c>
      <c r="J31">
        <v>50</v>
      </c>
      <c r="K31">
        <v>150</v>
      </c>
      <c r="L31">
        <v>13.5</v>
      </c>
      <c r="M31">
        <v>136.5</v>
      </c>
      <c r="N31" s="4">
        <v>0.09</v>
      </c>
    </row>
    <row r="32" spans="1:14" x14ac:dyDescent="0.25">
      <c r="A32">
        <v>481</v>
      </c>
      <c r="B32" s="1">
        <v>45736</v>
      </c>
      <c r="C32" t="s">
        <v>60</v>
      </c>
      <c r="D32" t="s">
        <v>16</v>
      </c>
      <c r="E32">
        <v>37</v>
      </c>
      <c r="F32" t="s">
        <v>35</v>
      </c>
      <c r="G32" t="s">
        <v>38</v>
      </c>
      <c r="H32" t="s">
        <v>32</v>
      </c>
      <c r="I32">
        <v>4</v>
      </c>
      <c r="J32">
        <v>50</v>
      </c>
      <c r="K32">
        <v>200</v>
      </c>
      <c r="L32">
        <v>20</v>
      </c>
      <c r="M32">
        <v>180</v>
      </c>
      <c r="N32" s="4">
        <v>0.1</v>
      </c>
    </row>
    <row r="33" spans="1:14" x14ac:dyDescent="0.25">
      <c r="A33">
        <v>482</v>
      </c>
      <c r="B33" s="1">
        <v>45816</v>
      </c>
      <c r="C33" t="s">
        <v>57</v>
      </c>
      <c r="D33" t="s">
        <v>16</v>
      </c>
      <c r="E33">
        <v>41</v>
      </c>
      <c r="F33" t="s">
        <v>23</v>
      </c>
      <c r="G33" t="s">
        <v>18</v>
      </c>
      <c r="H33" t="s">
        <v>19</v>
      </c>
      <c r="I33">
        <v>1</v>
      </c>
      <c r="J33">
        <v>800</v>
      </c>
      <c r="K33">
        <v>800</v>
      </c>
      <c r="L33">
        <v>0</v>
      </c>
      <c r="M33">
        <v>800</v>
      </c>
      <c r="N33" s="4">
        <v>0</v>
      </c>
    </row>
    <row r="34" spans="1:14" x14ac:dyDescent="0.25">
      <c r="A34">
        <v>483</v>
      </c>
      <c r="B34" s="1">
        <v>45894</v>
      </c>
      <c r="C34" t="s">
        <v>58</v>
      </c>
      <c r="D34" t="s">
        <v>16</v>
      </c>
      <c r="E34">
        <v>50</v>
      </c>
      <c r="F34" t="s">
        <v>17</v>
      </c>
      <c r="G34" t="s">
        <v>38</v>
      </c>
      <c r="H34" t="s">
        <v>19</v>
      </c>
      <c r="I34">
        <v>4</v>
      </c>
      <c r="J34">
        <v>200</v>
      </c>
      <c r="K34">
        <v>800</v>
      </c>
      <c r="L34">
        <v>64</v>
      </c>
      <c r="M34">
        <v>736</v>
      </c>
      <c r="N34" s="4">
        <v>0.08</v>
      </c>
    </row>
    <row r="35" spans="1:14" x14ac:dyDescent="0.25">
      <c r="A35">
        <v>484</v>
      </c>
      <c r="B35" s="1">
        <v>45837</v>
      </c>
      <c r="C35" t="s">
        <v>59</v>
      </c>
      <c r="D35" t="s">
        <v>16</v>
      </c>
      <c r="E35">
        <v>46</v>
      </c>
      <c r="F35" t="s">
        <v>33</v>
      </c>
      <c r="G35" t="s">
        <v>18</v>
      </c>
      <c r="H35" t="s">
        <v>32</v>
      </c>
      <c r="I35">
        <v>3</v>
      </c>
      <c r="J35">
        <v>20</v>
      </c>
      <c r="K35">
        <v>60</v>
      </c>
      <c r="L35">
        <v>7.1999999999999993</v>
      </c>
      <c r="M35">
        <v>52.8</v>
      </c>
      <c r="N35" s="4">
        <v>0.11999999999999998</v>
      </c>
    </row>
    <row r="36" spans="1:14" x14ac:dyDescent="0.25">
      <c r="A36">
        <v>487</v>
      </c>
      <c r="B36" s="1">
        <v>45826</v>
      </c>
      <c r="C36" t="s">
        <v>60</v>
      </c>
      <c r="D36" t="s">
        <v>16</v>
      </c>
      <c r="E36">
        <v>51</v>
      </c>
      <c r="F36" t="s">
        <v>35</v>
      </c>
      <c r="G36" t="s">
        <v>38</v>
      </c>
      <c r="H36" t="s">
        <v>32</v>
      </c>
      <c r="I36">
        <v>3</v>
      </c>
      <c r="J36">
        <v>50</v>
      </c>
      <c r="K36">
        <v>150</v>
      </c>
      <c r="L36">
        <v>4.5</v>
      </c>
      <c r="M36">
        <v>145.5</v>
      </c>
      <c r="N36" s="4">
        <v>0.03</v>
      </c>
    </row>
    <row r="37" spans="1:14" x14ac:dyDescent="0.25">
      <c r="A37">
        <v>488</v>
      </c>
      <c r="B37" s="1">
        <v>45969</v>
      </c>
      <c r="C37" t="s">
        <v>57</v>
      </c>
      <c r="D37" t="s">
        <v>16</v>
      </c>
      <c r="E37">
        <v>64</v>
      </c>
      <c r="F37" t="s">
        <v>17</v>
      </c>
      <c r="G37" t="s">
        <v>45</v>
      </c>
      <c r="H37" t="s">
        <v>19</v>
      </c>
      <c r="I37">
        <v>5</v>
      </c>
      <c r="J37">
        <v>200</v>
      </c>
      <c r="K37">
        <v>1000</v>
      </c>
      <c r="L37">
        <v>70</v>
      </c>
      <c r="M37">
        <v>930</v>
      </c>
      <c r="N37" s="4">
        <v>7.0000000000000007E-2</v>
      </c>
    </row>
    <row r="38" spans="1:14" x14ac:dyDescent="0.25">
      <c r="A38">
        <v>489</v>
      </c>
      <c r="B38" s="1">
        <v>45858</v>
      </c>
      <c r="C38" t="s">
        <v>58</v>
      </c>
      <c r="D38" t="s">
        <v>16</v>
      </c>
      <c r="E38">
        <v>68</v>
      </c>
      <c r="F38" t="s">
        <v>17</v>
      </c>
      <c r="G38" t="s">
        <v>43</v>
      </c>
      <c r="H38" t="s">
        <v>19</v>
      </c>
      <c r="I38">
        <v>4</v>
      </c>
      <c r="J38">
        <v>200</v>
      </c>
      <c r="K38">
        <v>800</v>
      </c>
      <c r="L38">
        <v>24</v>
      </c>
      <c r="M38">
        <v>776</v>
      </c>
      <c r="N38" s="4">
        <v>0.03</v>
      </c>
    </row>
    <row r="39" spans="1:14" x14ac:dyDescent="0.25">
      <c r="A39">
        <v>490</v>
      </c>
      <c r="B39" s="1">
        <v>45696</v>
      </c>
      <c r="C39" t="s">
        <v>59</v>
      </c>
      <c r="D39" t="s">
        <v>16</v>
      </c>
      <c r="E39">
        <v>52</v>
      </c>
      <c r="F39" t="s">
        <v>23</v>
      </c>
      <c r="G39" t="s">
        <v>38</v>
      </c>
      <c r="H39" t="s">
        <v>19</v>
      </c>
      <c r="I39">
        <v>1</v>
      </c>
      <c r="J39">
        <v>800</v>
      </c>
      <c r="K39">
        <v>800</v>
      </c>
      <c r="L39">
        <v>416</v>
      </c>
      <c r="M39">
        <v>384</v>
      </c>
      <c r="N39" s="4">
        <v>0.52</v>
      </c>
    </row>
    <row r="40" spans="1:14" x14ac:dyDescent="0.25">
      <c r="A40">
        <v>490</v>
      </c>
      <c r="B40" s="1">
        <v>45696</v>
      </c>
      <c r="C40" t="s">
        <v>59</v>
      </c>
      <c r="D40" t="s">
        <v>16</v>
      </c>
      <c r="E40">
        <v>52</v>
      </c>
      <c r="F40" t="s">
        <v>23</v>
      </c>
      <c r="G40" t="s">
        <v>38</v>
      </c>
      <c r="H40" t="s">
        <v>19</v>
      </c>
      <c r="I40">
        <v>1</v>
      </c>
      <c r="J40">
        <v>800</v>
      </c>
      <c r="K40">
        <v>800</v>
      </c>
      <c r="L40">
        <v>384</v>
      </c>
      <c r="M40">
        <v>416</v>
      </c>
      <c r="N40" s="4">
        <v>0.48</v>
      </c>
    </row>
    <row r="41" spans="1:14" x14ac:dyDescent="0.25">
      <c r="A41">
        <v>491</v>
      </c>
      <c r="B41" s="1">
        <v>45934</v>
      </c>
      <c r="C41" t="s">
        <v>60</v>
      </c>
      <c r="D41" t="s">
        <v>16</v>
      </c>
      <c r="E41">
        <v>65</v>
      </c>
      <c r="F41" t="s">
        <v>17</v>
      </c>
      <c r="G41" t="s">
        <v>18</v>
      </c>
      <c r="H41" t="s">
        <v>19</v>
      </c>
      <c r="I41">
        <v>3</v>
      </c>
      <c r="J41">
        <v>200</v>
      </c>
      <c r="K41">
        <v>600</v>
      </c>
      <c r="L41">
        <v>90</v>
      </c>
      <c r="M41">
        <v>510</v>
      </c>
      <c r="N41" s="4">
        <v>0.15</v>
      </c>
    </row>
    <row r="42" spans="1:14" x14ac:dyDescent="0.25">
      <c r="A42">
        <v>492</v>
      </c>
      <c r="B42" s="1">
        <v>45742</v>
      </c>
      <c r="C42" t="s">
        <v>57</v>
      </c>
      <c r="D42" t="s">
        <v>16</v>
      </c>
      <c r="E42">
        <v>31</v>
      </c>
      <c r="F42" t="s">
        <v>30</v>
      </c>
      <c r="G42" t="s">
        <v>43</v>
      </c>
      <c r="H42" t="s">
        <v>32</v>
      </c>
      <c r="I42">
        <v>2</v>
      </c>
      <c r="J42">
        <v>35</v>
      </c>
      <c r="K42">
        <v>70</v>
      </c>
      <c r="L42">
        <v>9.8000000000000007</v>
      </c>
      <c r="M42">
        <v>60.2</v>
      </c>
      <c r="N42" s="4">
        <v>0.14000000000000001</v>
      </c>
    </row>
    <row r="43" spans="1:14" x14ac:dyDescent="0.25">
      <c r="A43">
        <v>493</v>
      </c>
      <c r="B43" s="1">
        <v>45739</v>
      </c>
      <c r="C43" t="s">
        <v>58</v>
      </c>
      <c r="D43" t="s">
        <v>16</v>
      </c>
      <c r="E43">
        <v>57</v>
      </c>
      <c r="F43" t="s">
        <v>33</v>
      </c>
      <c r="G43" t="s">
        <v>43</v>
      </c>
      <c r="H43" t="s">
        <v>32</v>
      </c>
      <c r="I43">
        <v>5</v>
      </c>
      <c r="J43">
        <v>20</v>
      </c>
      <c r="K43">
        <v>100</v>
      </c>
      <c r="L43">
        <v>2</v>
      </c>
      <c r="M43">
        <v>98</v>
      </c>
      <c r="N43" s="4">
        <v>0.02</v>
      </c>
    </row>
    <row r="44" spans="1:14" x14ac:dyDescent="0.25">
      <c r="A44">
        <v>494</v>
      </c>
      <c r="B44" s="1">
        <v>45687</v>
      </c>
      <c r="C44" t="s">
        <v>59</v>
      </c>
      <c r="D44" t="s">
        <v>16</v>
      </c>
      <c r="E44">
        <v>41</v>
      </c>
      <c r="F44" t="s">
        <v>35</v>
      </c>
      <c r="G44" t="s">
        <v>46</v>
      </c>
      <c r="H44" t="s">
        <v>32</v>
      </c>
      <c r="I44">
        <v>3</v>
      </c>
      <c r="J44">
        <v>50</v>
      </c>
      <c r="K44">
        <v>150</v>
      </c>
      <c r="L44">
        <v>7.5</v>
      </c>
      <c r="M44">
        <v>142.5</v>
      </c>
      <c r="N44" s="4">
        <v>0.05</v>
      </c>
    </row>
    <row r="45" spans="1:14" x14ac:dyDescent="0.25">
      <c r="A45">
        <v>495</v>
      </c>
      <c r="B45" s="1">
        <v>45794</v>
      </c>
      <c r="C45" t="s">
        <v>60</v>
      </c>
      <c r="D45" t="s">
        <v>22</v>
      </c>
      <c r="E45">
        <v>48</v>
      </c>
      <c r="F45" t="s">
        <v>35</v>
      </c>
      <c r="G45" t="s">
        <v>18</v>
      </c>
      <c r="H45" t="s">
        <v>32</v>
      </c>
      <c r="I45">
        <v>3</v>
      </c>
      <c r="J45">
        <v>50</v>
      </c>
      <c r="K45">
        <v>150</v>
      </c>
      <c r="L45">
        <v>1.5</v>
      </c>
      <c r="M45">
        <v>148.5</v>
      </c>
      <c r="N45" s="4">
        <v>0.01</v>
      </c>
    </row>
    <row r="46" spans="1:14" x14ac:dyDescent="0.25">
      <c r="A46">
        <v>496</v>
      </c>
      <c r="B46" s="1">
        <v>45746</v>
      </c>
      <c r="C46" t="s">
        <v>57</v>
      </c>
      <c r="D46" t="s">
        <v>16</v>
      </c>
      <c r="E46">
        <v>29</v>
      </c>
      <c r="F46" t="s">
        <v>33</v>
      </c>
      <c r="G46" t="s">
        <v>38</v>
      </c>
      <c r="H46" t="s">
        <v>32</v>
      </c>
      <c r="I46">
        <v>2</v>
      </c>
      <c r="J46">
        <v>20</v>
      </c>
      <c r="K46">
        <v>40</v>
      </c>
      <c r="L46">
        <v>4.8</v>
      </c>
      <c r="M46">
        <v>35.200000000000003</v>
      </c>
      <c r="N46" s="4">
        <v>0.12</v>
      </c>
    </row>
    <row r="47" spans="1:14" x14ac:dyDescent="0.25">
      <c r="A47">
        <v>497</v>
      </c>
      <c r="B47" s="1">
        <v>45740</v>
      </c>
      <c r="C47" t="s">
        <v>58</v>
      </c>
      <c r="D47" t="s">
        <v>16</v>
      </c>
      <c r="E47">
        <v>67</v>
      </c>
      <c r="F47" t="s">
        <v>17</v>
      </c>
      <c r="G47" t="s">
        <v>45</v>
      </c>
      <c r="H47" t="s">
        <v>19</v>
      </c>
      <c r="I47">
        <v>2</v>
      </c>
      <c r="J47">
        <v>200</v>
      </c>
      <c r="K47">
        <v>400</v>
      </c>
      <c r="L47">
        <v>12</v>
      </c>
      <c r="M47">
        <v>388</v>
      </c>
      <c r="N47" s="4">
        <v>0.03</v>
      </c>
    </row>
    <row r="48" spans="1:14" x14ac:dyDescent="0.25">
      <c r="A48">
        <v>498</v>
      </c>
      <c r="B48" s="1">
        <v>45686</v>
      </c>
      <c r="C48" t="s">
        <v>59</v>
      </c>
      <c r="D48" t="s">
        <v>16</v>
      </c>
      <c r="E48">
        <v>70</v>
      </c>
      <c r="F48" t="s">
        <v>33</v>
      </c>
      <c r="G48" t="s">
        <v>45</v>
      </c>
      <c r="H48" t="s">
        <v>32</v>
      </c>
      <c r="I48">
        <v>1</v>
      </c>
      <c r="J48">
        <v>20</v>
      </c>
      <c r="K48">
        <v>20</v>
      </c>
      <c r="L48">
        <v>1</v>
      </c>
      <c r="M48">
        <v>19</v>
      </c>
      <c r="N48" s="4">
        <v>0.05</v>
      </c>
    </row>
    <row r="49" spans="1:14" x14ac:dyDescent="0.25">
      <c r="A49">
        <v>499</v>
      </c>
      <c r="B49" s="1">
        <v>45936</v>
      </c>
      <c r="C49" t="s">
        <v>60</v>
      </c>
      <c r="D49" t="s">
        <v>16</v>
      </c>
      <c r="E49">
        <v>44</v>
      </c>
      <c r="F49" t="s">
        <v>33</v>
      </c>
      <c r="G49" t="s">
        <v>38</v>
      </c>
      <c r="H49" t="s">
        <v>32</v>
      </c>
      <c r="I49">
        <v>1</v>
      </c>
      <c r="J49">
        <v>20</v>
      </c>
      <c r="K49">
        <v>20</v>
      </c>
      <c r="L49">
        <v>0.8</v>
      </c>
      <c r="M49">
        <v>19.2</v>
      </c>
      <c r="N49" s="4">
        <v>0.04</v>
      </c>
    </row>
    <row r="50" spans="1:14" x14ac:dyDescent="0.25">
      <c r="A50">
        <v>500</v>
      </c>
      <c r="B50" s="1">
        <v>45859</v>
      </c>
      <c r="C50" t="s">
        <v>57</v>
      </c>
      <c r="D50" t="s">
        <v>22</v>
      </c>
      <c r="E50">
        <v>33</v>
      </c>
      <c r="F50" t="s">
        <v>30</v>
      </c>
      <c r="G50" t="s">
        <v>43</v>
      </c>
      <c r="H50" t="s">
        <v>32</v>
      </c>
      <c r="I50">
        <v>3</v>
      </c>
      <c r="J50">
        <v>35</v>
      </c>
      <c r="K50">
        <v>105</v>
      </c>
      <c r="L50">
        <v>9.4499999999999993</v>
      </c>
      <c r="M50">
        <v>95.55</v>
      </c>
      <c r="N50" s="4">
        <v>0.09</v>
      </c>
    </row>
    <row r="51" spans="1:14" x14ac:dyDescent="0.25">
      <c r="A51">
        <v>501</v>
      </c>
      <c r="B51" s="1">
        <v>45755</v>
      </c>
      <c r="C51" t="s">
        <v>58</v>
      </c>
      <c r="D51" t="s">
        <v>16</v>
      </c>
      <c r="E51">
        <v>30</v>
      </c>
      <c r="F51" t="s">
        <v>30</v>
      </c>
      <c r="G51" t="s">
        <v>38</v>
      </c>
      <c r="H51" t="s">
        <v>32</v>
      </c>
      <c r="I51">
        <v>1</v>
      </c>
      <c r="J51">
        <v>35</v>
      </c>
      <c r="K51">
        <v>35</v>
      </c>
      <c r="L51">
        <v>2.8000000000000003</v>
      </c>
      <c r="M51">
        <v>32.200000000000003</v>
      </c>
      <c r="N51" s="4">
        <v>0.08</v>
      </c>
    </row>
    <row r="52" spans="1:14" x14ac:dyDescent="0.25">
      <c r="A52">
        <v>502</v>
      </c>
      <c r="B52" s="1">
        <v>45884</v>
      </c>
      <c r="C52" t="s">
        <v>59</v>
      </c>
      <c r="D52" t="s">
        <v>16</v>
      </c>
      <c r="E52">
        <v>60</v>
      </c>
      <c r="F52" t="s">
        <v>33</v>
      </c>
      <c r="G52" t="s">
        <v>18</v>
      </c>
      <c r="H52" t="s">
        <v>32</v>
      </c>
      <c r="I52">
        <v>4</v>
      </c>
      <c r="J52">
        <v>20</v>
      </c>
      <c r="K52">
        <v>80</v>
      </c>
      <c r="L52">
        <v>10.4</v>
      </c>
      <c r="M52">
        <v>69.599999999999994</v>
      </c>
      <c r="N52" s="4">
        <v>0.13</v>
      </c>
    </row>
    <row r="53" spans="1:14" x14ac:dyDescent="0.25">
      <c r="A53">
        <v>503</v>
      </c>
      <c r="B53" s="1">
        <v>45770</v>
      </c>
      <c r="C53" t="s">
        <v>60</v>
      </c>
      <c r="D53" t="s">
        <v>16</v>
      </c>
      <c r="E53">
        <v>55</v>
      </c>
      <c r="F53" t="s">
        <v>17</v>
      </c>
      <c r="G53" t="s">
        <v>38</v>
      </c>
      <c r="H53" t="s">
        <v>19</v>
      </c>
      <c r="I53">
        <v>1</v>
      </c>
      <c r="J53">
        <v>200</v>
      </c>
      <c r="K53">
        <v>200</v>
      </c>
      <c r="L53">
        <v>4</v>
      </c>
      <c r="M53">
        <v>196</v>
      </c>
      <c r="N53" s="4">
        <v>0.02</v>
      </c>
    </row>
    <row r="54" spans="1:14" x14ac:dyDescent="0.25">
      <c r="A54">
        <v>504</v>
      </c>
      <c r="B54" s="1">
        <v>45903</v>
      </c>
      <c r="C54" t="s">
        <v>57</v>
      </c>
      <c r="D54" t="s">
        <v>16</v>
      </c>
      <c r="E54">
        <v>42</v>
      </c>
      <c r="F54" t="s">
        <v>17</v>
      </c>
      <c r="G54" t="s">
        <v>38</v>
      </c>
      <c r="H54" t="s">
        <v>19</v>
      </c>
      <c r="I54">
        <v>4</v>
      </c>
      <c r="J54">
        <v>200</v>
      </c>
      <c r="K54">
        <v>800</v>
      </c>
      <c r="L54">
        <v>16</v>
      </c>
      <c r="M54">
        <v>784</v>
      </c>
      <c r="N54" s="4">
        <v>0.02</v>
      </c>
    </row>
    <row r="55" spans="1:14" x14ac:dyDescent="0.25">
      <c r="A55">
        <v>505</v>
      </c>
      <c r="B55" s="1">
        <v>45815</v>
      </c>
      <c r="C55" t="s">
        <v>58</v>
      </c>
      <c r="D55" t="s">
        <v>16</v>
      </c>
      <c r="E55">
        <v>28</v>
      </c>
      <c r="F55" t="s">
        <v>23</v>
      </c>
      <c r="G55" t="s">
        <v>38</v>
      </c>
      <c r="H55" t="s">
        <v>19</v>
      </c>
      <c r="I55">
        <v>1</v>
      </c>
      <c r="J55">
        <v>800</v>
      </c>
      <c r="K55">
        <v>800</v>
      </c>
      <c r="L55">
        <v>176</v>
      </c>
      <c r="M55">
        <v>624</v>
      </c>
      <c r="N55" s="4">
        <v>0.22</v>
      </c>
    </row>
    <row r="56" spans="1:14" x14ac:dyDescent="0.25">
      <c r="A56">
        <v>506</v>
      </c>
      <c r="B56" s="1">
        <v>45914</v>
      </c>
      <c r="C56" t="s">
        <v>59</v>
      </c>
      <c r="D56" t="s">
        <v>16</v>
      </c>
      <c r="E56">
        <v>52</v>
      </c>
      <c r="F56" t="s">
        <v>30</v>
      </c>
      <c r="G56" t="s">
        <v>43</v>
      </c>
      <c r="H56" t="s">
        <v>32</v>
      </c>
      <c r="I56">
        <v>2</v>
      </c>
      <c r="J56">
        <v>35</v>
      </c>
      <c r="K56">
        <v>70</v>
      </c>
      <c r="L56">
        <v>3.5</v>
      </c>
      <c r="M56">
        <v>66.5</v>
      </c>
      <c r="N56" s="4">
        <v>0.05</v>
      </c>
    </row>
    <row r="57" spans="1:14" x14ac:dyDescent="0.25">
      <c r="A57">
        <v>507</v>
      </c>
      <c r="B57" s="1">
        <v>45734</v>
      </c>
      <c r="C57" t="s">
        <v>60</v>
      </c>
      <c r="D57" t="s">
        <v>16</v>
      </c>
      <c r="E57">
        <v>47</v>
      </c>
      <c r="F57" t="s">
        <v>35</v>
      </c>
      <c r="G57" t="s">
        <v>45</v>
      </c>
      <c r="H57" t="s">
        <v>32</v>
      </c>
      <c r="I57">
        <v>4</v>
      </c>
      <c r="J57">
        <v>50</v>
      </c>
      <c r="K57">
        <v>200</v>
      </c>
      <c r="L57">
        <v>28.000000000000004</v>
      </c>
      <c r="M57">
        <v>172</v>
      </c>
      <c r="N57" s="4">
        <v>0.14000000000000001</v>
      </c>
    </row>
    <row r="58" spans="1:14" x14ac:dyDescent="0.25">
      <c r="A58">
        <v>508</v>
      </c>
      <c r="B58" s="1">
        <v>45749</v>
      </c>
      <c r="C58" t="s">
        <v>57</v>
      </c>
      <c r="D58" t="s">
        <v>16</v>
      </c>
      <c r="E58">
        <v>67</v>
      </c>
      <c r="F58" t="s">
        <v>30</v>
      </c>
      <c r="G58" t="s">
        <v>46</v>
      </c>
      <c r="H58" t="s">
        <v>32</v>
      </c>
      <c r="I58">
        <v>1</v>
      </c>
      <c r="J58">
        <v>35</v>
      </c>
      <c r="K58">
        <v>35</v>
      </c>
      <c r="L58">
        <v>0.35000000000000003</v>
      </c>
      <c r="M58">
        <v>34.65</v>
      </c>
      <c r="N58" s="4">
        <v>0.01</v>
      </c>
    </row>
    <row r="59" spans="1:14" x14ac:dyDescent="0.25">
      <c r="A59">
        <v>509</v>
      </c>
      <c r="B59" s="1">
        <v>45871</v>
      </c>
      <c r="C59" t="s">
        <v>58</v>
      </c>
      <c r="D59" t="s">
        <v>16</v>
      </c>
      <c r="E59">
        <v>65</v>
      </c>
      <c r="F59" t="s">
        <v>23</v>
      </c>
      <c r="G59" t="s">
        <v>46</v>
      </c>
      <c r="H59" t="s">
        <v>19</v>
      </c>
      <c r="I59">
        <v>1</v>
      </c>
      <c r="J59">
        <v>800</v>
      </c>
      <c r="K59">
        <v>800</v>
      </c>
      <c r="L59">
        <v>224.00000000000003</v>
      </c>
      <c r="M59">
        <v>576</v>
      </c>
      <c r="N59" s="4">
        <v>0.28000000000000003</v>
      </c>
    </row>
    <row r="60" spans="1:14" x14ac:dyDescent="0.25">
      <c r="A60">
        <v>510</v>
      </c>
      <c r="B60" s="1">
        <v>45844</v>
      </c>
      <c r="C60" t="s">
        <v>59</v>
      </c>
      <c r="D60" t="s">
        <v>16</v>
      </c>
      <c r="E60">
        <v>29</v>
      </c>
      <c r="F60" t="s">
        <v>30</v>
      </c>
      <c r="G60" t="s">
        <v>45</v>
      </c>
      <c r="H60" t="s">
        <v>32</v>
      </c>
      <c r="I60">
        <v>3</v>
      </c>
      <c r="J60">
        <v>35</v>
      </c>
      <c r="K60">
        <v>105</v>
      </c>
      <c r="L60">
        <v>13.65</v>
      </c>
      <c r="M60">
        <v>91.35</v>
      </c>
      <c r="N60" s="4">
        <v>0.13</v>
      </c>
    </row>
    <row r="61" spans="1:14" x14ac:dyDescent="0.25">
      <c r="A61">
        <v>511</v>
      </c>
      <c r="B61" s="1">
        <v>45868</v>
      </c>
      <c r="C61" t="s">
        <v>60</v>
      </c>
      <c r="D61" t="s">
        <v>16</v>
      </c>
      <c r="E61">
        <v>34</v>
      </c>
      <c r="F61" t="s">
        <v>35</v>
      </c>
      <c r="G61" t="s">
        <v>46</v>
      </c>
      <c r="H61" t="s">
        <v>32</v>
      </c>
      <c r="I61">
        <v>4</v>
      </c>
      <c r="J61">
        <v>50</v>
      </c>
      <c r="K61">
        <v>200</v>
      </c>
      <c r="L61">
        <v>2</v>
      </c>
      <c r="M61">
        <v>198</v>
      </c>
      <c r="N61" s="4">
        <v>0.01</v>
      </c>
    </row>
    <row r="62" spans="1:14" x14ac:dyDescent="0.25">
      <c r="A62">
        <v>512</v>
      </c>
      <c r="B62" s="1">
        <v>45791</v>
      </c>
      <c r="C62" t="s">
        <v>57</v>
      </c>
      <c r="D62" t="s">
        <v>16</v>
      </c>
      <c r="E62">
        <v>67</v>
      </c>
      <c r="F62" t="s">
        <v>35</v>
      </c>
      <c r="G62" t="s">
        <v>46</v>
      </c>
      <c r="H62" t="s">
        <v>32</v>
      </c>
      <c r="I62">
        <v>5</v>
      </c>
      <c r="J62">
        <v>50</v>
      </c>
      <c r="K62">
        <v>250</v>
      </c>
      <c r="L62">
        <v>12.5</v>
      </c>
      <c r="M62">
        <v>237.5</v>
      </c>
      <c r="N62" s="4">
        <v>0.05</v>
      </c>
    </row>
    <row r="63" spans="1:14" x14ac:dyDescent="0.25">
      <c r="A63">
        <v>512</v>
      </c>
      <c r="B63" s="1">
        <v>45791</v>
      </c>
      <c r="C63" t="s">
        <v>57</v>
      </c>
      <c r="D63" t="s">
        <v>16</v>
      </c>
      <c r="E63">
        <v>67</v>
      </c>
      <c r="F63" t="s">
        <v>35</v>
      </c>
      <c r="G63" t="s">
        <v>46</v>
      </c>
      <c r="H63" t="s">
        <v>32</v>
      </c>
      <c r="I63">
        <v>5</v>
      </c>
      <c r="J63">
        <v>50</v>
      </c>
      <c r="K63">
        <v>250</v>
      </c>
      <c r="L63">
        <v>10</v>
      </c>
      <c r="M63">
        <v>240</v>
      </c>
      <c r="N63" s="4">
        <v>0.04</v>
      </c>
    </row>
    <row r="64" spans="1:14" x14ac:dyDescent="0.25">
      <c r="A64">
        <v>513</v>
      </c>
      <c r="B64" s="1">
        <v>45757</v>
      </c>
      <c r="C64" t="s">
        <v>58</v>
      </c>
      <c r="D64" t="s">
        <v>16</v>
      </c>
      <c r="E64">
        <v>70</v>
      </c>
      <c r="F64" t="s">
        <v>30</v>
      </c>
      <c r="G64" t="s">
        <v>38</v>
      </c>
      <c r="H64" t="s">
        <v>32</v>
      </c>
      <c r="I64">
        <v>1</v>
      </c>
      <c r="J64">
        <v>35</v>
      </c>
      <c r="K64">
        <v>35</v>
      </c>
      <c r="L64">
        <v>4.2</v>
      </c>
      <c r="M64">
        <v>30.8</v>
      </c>
      <c r="N64" s="4">
        <v>0.12000000000000001</v>
      </c>
    </row>
    <row r="65" spans="1:14" x14ac:dyDescent="0.25">
      <c r="A65">
        <v>514</v>
      </c>
      <c r="B65" s="1">
        <v>45713</v>
      </c>
      <c r="C65" t="s">
        <v>59</v>
      </c>
      <c r="D65" t="s">
        <v>22</v>
      </c>
      <c r="E65">
        <v>54</v>
      </c>
      <c r="F65" t="s">
        <v>17</v>
      </c>
      <c r="G65" t="s">
        <v>38</v>
      </c>
      <c r="H65" t="s">
        <v>19</v>
      </c>
      <c r="I65">
        <v>1</v>
      </c>
      <c r="J65">
        <v>200</v>
      </c>
      <c r="K65">
        <v>200</v>
      </c>
      <c r="L65">
        <v>10</v>
      </c>
      <c r="M65">
        <v>190</v>
      </c>
      <c r="N65" s="4">
        <v>0.05</v>
      </c>
    </row>
    <row r="66" spans="1:14" x14ac:dyDescent="0.25">
      <c r="A66">
        <v>515</v>
      </c>
      <c r="B66" s="1">
        <v>45967</v>
      </c>
      <c r="C66" t="s">
        <v>60</v>
      </c>
      <c r="D66" t="s">
        <v>16</v>
      </c>
      <c r="E66">
        <v>25</v>
      </c>
      <c r="F66" t="s">
        <v>30</v>
      </c>
      <c r="G66" t="s">
        <v>45</v>
      </c>
      <c r="H66" t="s">
        <v>32</v>
      </c>
      <c r="I66">
        <v>1</v>
      </c>
      <c r="J66">
        <v>35</v>
      </c>
      <c r="K66">
        <v>35</v>
      </c>
      <c r="L66">
        <v>1.05</v>
      </c>
      <c r="M66">
        <v>33.950000000000003</v>
      </c>
      <c r="N66" s="4">
        <v>3.0000000000000002E-2</v>
      </c>
    </row>
    <row r="67" spans="1:14" x14ac:dyDescent="0.25">
      <c r="A67">
        <v>516</v>
      </c>
      <c r="B67" s="1">
        <v>45877</v>
      </c>
      <c r="C67" t="s">
        <v>57</v>
      </c>
      <c r="D67" t="s">
        <v>16</v>
      </c>
      <c r="E67">
        <v>35</v>
      </c>
      <c r="F67" t="s">
        <v>30</v>
      </c>
      <c r="G67" t="s">
        <v>43</v>
      </c>
      <c r="H67" t="s">
        <v>32</v>
      </c>
      <c r="I67">
        <v>2</v>
      </c>
      <c r="J67">
        <v>35</v>
      </c>
      <c r="K67">
        <v>70</v>
      </c>
      <c r="L67">
        <v>7.7</v>
      </c>
      <c r="M67">
        <v>62.3</v>
      </c>
      <c r="N67" s="4">
        <v>0.11</v>
      </c>
    </row>
    <row r="68" spans="1:14" x14ac:dyDescent="0.25">
      <c r="A68">
        <v>517</v>
      </c>
      <c r="B68" s="1">
        <v>45716</v>
      </c>
      <c r="C68" t="s">
        <v>58</v>
      </c>
      <c r="D68" t="s">
        <v>16</v>
      </c>
      <c r="E68">
        <v>40</v>
      </c>
      <c r="F68" t="s">
        <v>35</v>
      </c>
      <c r="G68" t="s">
        <v>43</v>
      </c>
      <c r="H68" t="s">
        <v>32</v>
      </c>
      <c r="I68">
        <v>2</v>
      </c>
      <c r="J68">
        <v>50</v>
      </c>
      <c r="K68">
        <v>100</v>
      </c>
      <c r="L68">
        <v>9</v>
      </c>
      <c r="M68">
        <v>91</v>
      </c>
      <c r="N68" s="4">
        <v>0.09</v>
      </c>
    </row>
    <row r="69" spans="1:14" x14ac:dyDescent="0.25">
      <c r="A69">
        <v>518</v>
      </c>
      <c r="B69" s="1">
        <v>45833</v>
      </c>
      <c r="C69" t="s">
        <v>59</v>
      </c>
      <c r="D69" t="s">
        <v>16</v>
      </c>
      <c r="E69">
        <v>28</v>
      </c>
      <c r="F69" t="s">
        <v>33</v>
      </c>
      <c r="G69" t="s">
        <v>18</v>
      </c>
      <c r="H69" t="s">
        <v>32</v>
      </c>
      <c r="I69">
        <v>2</v>
      </c>
      <c r="J69">
        <v>20</v>
      </c>
      <c r="K69">
        <v>40</v>
      </c>
      <c r="L69">
        <v>2.4</v>
      </c>
      <c r="M69">
        <v>37.6</v>
      </c>
      <c r="N69" s="4">
        <v>0.06</v>
      </c>
    </row>
    <row r="70" spans="1:14" x14ac:dyDescent="0.25">
      <c r="A70">
        <v>519</v>
      </c>
      <c r="B70" s="1">
        <v>45940</v>
      </c>
      <c r="C70" t="s">
        <v>60</v>
      </c>
      <c r="D70" t="s">
        <v>22</v>
      </c>
      <c r="E70">
        <v>47</v>
      </c>
      <c r="F70" t="s">
        <v>17</v>
      </c>
      <c r="G70" t="s">
        <v>38</v>
      </c>
      <c r="H70" t="s">
        <v>19</v>
      </c>
      <c r="I70">
        <v>3</v>
      </c>
      <c r="J70">
        <v>200</v>
      </c>
      <c r="K70">
        <v>600</v>
      </c>
      <c r="L70">
        <v>54</v>
      </c>
      <c r="M70">
        <v>546</v>
      </c>
      <c r="N70" s="4">
        <v>0.09</v>
      </c>
    </row>
    <row r="71" spans="1:14" x14ac:dyDescent="0.25">
      <c r="A71">
        <v>520</v>
      </c>
      <c r="B71" s="1">
        <v>45843</v>
      </c>
      <c r="C71" t="s">
        <v>57</v>
      </c>
      <c r="D71" t="s">
        <v>16</v>
      </c>
      <c r="E71">
        <v>62</v>
      </c>
      <c r="F71" t="s">
        <v>23</v>
      </c>
      <c r="G71" t="s">
        <v>38</v>
      </c>
      <c r="H71" t="s">
        <v>19</v>
      </c>
      <c r="I71">
        <v>1</v>
      </c>
      <c r="J71">
        <v>800</v>
      </c>
      <c r="K71">
        <v>800</v>
      </c>
      <c r="L71">
        <v>120</v>
      </c>
      <c r="M71">
        <v>680</v>
      </c>
      <c r="N71" s="4">
        <v>0.15</v>
      </c>
    </row>
    <row r="72" spans="1:14" x14ac:dyDescent="0.25">
      <c r="A72">
        <v>522</v>
      </c>
      <c r="B72" s="1">
        <v>45769</v>
      </c>
      <c r="C72" t="s">
        <v>58</v>
      </c>
      <c r="D72" t="s">
        <v>16</v>
      </c>
      <c r="E72">
        <v>46</v>
      </c>
      <c r="F72" t="s">
        <v>35</v>
      </c>
      <c r="G72" t="s">
        <v>45</v>
      </c>
      <c r="H72" t="s">
        <v>32</v>
      </c>
      <c r="I72">
        <v>4</v>
      </c>
      <c r="J72">
        <v>50</v>
      </c>
      <c r="K72">
        <v>200</v>
      </c>
      <c r="L72">
        <v>20</v>
      </c>
      <c r="M72">
        <v>180</v>
      </c>
      <c r="N72" s="4">
        <v>0.1</v>
      </c>
    </row>
    <row r="73" spans="1:14" x14ac:dyDescent="0.25">
      <c r="A73">
        <v>523</v>
      </c>
      <c r="B73" s="1">
        <v>45802</v>
      </c>
      <c r="C73" t="s">
        <v>59</v>
      </c>
      <c r="D73" t="s">
        <v>16</v>
      </c>
      <c r="E73">
        <v>32</v>
      </c>
      <c r="F73" t="s">
        <v>17</v>
      </c>
      <c r="G73" t="s">
        <v>18</v>
      </c>
      <c r="H73" t="s">
        <v>19</v>
      </c>
      <c r="I73">
        <v>4</v>
      </c>
      <c r="J73">
        <v>200</v>
      </c>
      <c r="K73">
        <v>800</v>
      </c>
      <c r="L73">
        <v>112.00000000000001</v>
      </c>
      <c r="M73">
        <v>688</v>
      </c>
      <c r="N73" s="4">
        <v>0.14000000000000001</v>
      </c>
    </row>
    <row r="74" spans="1:14" x14ac:dyDescent="0.25">
      <c r="A74">
        <v>524</v>
      </c>
      <c r="B74" s="1">
        <v>45959</v>
      </c>
      <c r="C74" t="s">
        <v>60</v>
      </c>
      <c r="D74" t="s">
        <v>16</v>
      </c>
      <c r="E74">
        <v>20</v>
      </c>
      <c r="F74" t="s">
        <v>17</v>
      </c>
      <c r="G74" t="s">
        <v>45</v>
      </c>
      <c r="H74" t="s">
        <v>19</v>
      </c>
      <c r="I74">
        <v>3</v>
      </c>
      <c r="J74">
        <v>200</v>
      </c>
      <c r="K74">
        <v>600</v>
      </c>
      <c r="L74">
        <v>30</v>
      </c>
      <c r="M74">
        <v>570</v>
      </c>
      <c r="N74" s="4">
        <v>0.05</v>
      </c>
    </row>
    <row r="75" spans="1:14" x14ac:dyDescent="0.25">
      <c r="A75">
        <v>525</v>
      </c>
      <c r="B75" s="1">
        <v>45793</v>
      </c>
      <c r="C75" t="s">
        <v>57</v>
      </c>
      <c r="D75" t="s">
        <v>16</v>
      </c>
      <c r="E75">
        <v>25</v>
      </c>
      <c r="F75" t="s">
        <v>35</v>
      </c>
      <c r="G75" t="s">
        <v>45</v>
      </c>
      <c r="H75" t="s">
        <v>32</v>
      </c>
      <c r="I75">
        <v>3</v>
      </c>
      <c r="J75">
        <v>50</v>
      </c>
      <c r="K75">
        <v>150</v>
      </c>
      <c r="L75">
        <v>10.500000000000002</v>
      </c>
      <c r="M75">
        <v>139.5</v>
      </c>
      <c r="N75" s="4">
        <v>7.0000000000000007E-2</v>
      </c>
    </row>
    <row r="76" spans="1:14" x14ac:dyDescent="0.25">
      <c r="A76">
        <v>526</v>
      </c>
      <c r="B76" s="1">
        <v>45701</v>
      </c>
      <c r="C76" t="s">
        <v>58</v>
      </c>
      <c r="D76" t="s">
        <v>16</v>
      </c>
      <c r="E76">
        <v>45</v>
      </c>
      <c r="F76" t="s">
        <v>35</v>
      </c>
      <c r="G76" t="s">
        <v>43</v>
      </c>
      <c r="H76" t="s">
        <v>32</v>
      </c>
      <c r="I76">
        <v>2</v>
      </c>
      <c r="J76">
        <v>50</v>
      </c>
      <c r="K76">
        <v>100</v>
      </c>
      <c r="L76">
        <v>10</v>
      </c>
      <c r="M76">
        <v>90</v>
      </c>
      <c r="N76" s="4">
        <v>0.1</v>
      </c>
    </row>
    <row r="77" spans="1:14" x14ac:dyDescent="0.25">
      <c r="A77">
        <v>527</v>
      </c>
      <c r="B77" s="1">
        <v>45726</v>
      </c>
      <c r="C77" t="s">
        <v>59</v>
      </c>
      <c r="D77" t="s">
        <v>16</v>
      </c>
      <c r="E77">
        <v>70</v>
      </c>
      <c r="F77" t="s">
        <v>30</v>
      </c>
      <c r="G77" t="s">
        <v>38</v>
      </c>
      <c r="H77" t="s">
        <v>32</v>
      </c>
      <c r="I77">
        <v>5</v>
      </c>
      <c r="J77">
        <v>35</v>
      </c>
      <c r="K77">
        <v>175</v>
      </c>
      <c r="L77">
        <v>0</v>
      </c>
      <c r="M77">
        <v>175</v>
      </c>
      <c r="N77" s="4">
        <v>0</v>
      </c>
    </row>
    <row r="78" spans="1:14" x14ac:dyDescent="0.25">
      <c r="A78">
        <v>528</v>
      </c>
      <c r="B78" s="1">
        <v>45959</v>
      </c>
      <c r="C78" t="s">
        <v>60</v>
      </c>
      <c r="D78" t="s">
        <v>16</v>
      </c>
      <c r="E78">
        <v>42</v>
      </c>
      <c r="F78" t="s">
        <v>17</v>
      </c>
      <c r="G78" t="s">
        <v>18</v>
      </c>
      <c r="H78" t="s">
        <v>19</v>
      </c>
      <c r="I78">
        <v>2</v>
      </c>
      <c r="J78">
        <v>200</v>
      </c>
      <c r="K78">
        <v>400</v>
      </c>
      <c r="L78">
        <v>12</v>
      </c>
      <c r="M78">
        <v>388</v>
      </c>
      <c r="N78" s="4">
        <v>0.03</v>
      </c>
    </row>
    <row r="79" spans="1:14" x14ac:dyDescent="0.25">
      <c r="A79">
        <v>529</v>
      </c>
      <c r="B79" s="1">
        <v>45921</v>
      </c>
      <c r="C79" t="s">
        <v>57</v>
      </c>
      <c r="D79" t="s">
        <v>16</v>
      </c>
      <c r="E79">
        <v>46</v>
      </c>
      <c r="F79" t="s">
        <v>33</v>
      </c>
      <c r="G79" t="s">
        <v>38</v>
      </c>
      <c r="H79" t="s">
        <v>32</v>
      </c>
      <c r="I79">
        <v>2</v>
      </c>
      <c r="J79">
        <v>20</v>
      </c>
      <c r="K79">
        <v>40</v>
      </c>
      <c r="L79">
        <v>2.4</v>
      </c>
      <c r="M79">
        <v>37.6</v>
      </c>
      <c r="N79" s="4">
        <v>0.06</v>
      </c>
    </row>
    <row r="80" spans="1:14" x14ac:dyDescent="0.25">
      <c r="A80">
        <v>530</v>
      </c>
      <c r="B80" s="1">
        <v>45823</v>
      </c>
      <c r="C80" t="s">
        <v>58</v>
      </c>
      <c r="D80" t="s">
        <v>16</v>
      </c>
      <c r="E80">
        <v>43</v>
      </c>
      <c r="F80" t="s">
        <v>30</v>
      </c>
      <c r="G80" t="s">
        <v>38</v>
      </c>
      <c r="H80" t="s">
        <v>32</v>
      </c>
      <c r="I80">
        <v>4</v>
      </c>
      <c r="J80">
        <v>35</v>
      </c>
      <c r="K80">
        <v>140</v>
      </c>
      <c r="L80">
        <v>19.600000000000001</v>
      </c>
      <c r="M80">
        <v>120.4</v>
      </c>
      <c r="N80" s="4">
        <v>0.14000000000000001</v>
      </c>
    </row>
    <row r="81" spans="1:14" x14ac:dyDescent="0.25">
      <c r="A81">
        <v>531</v>
      </c>
      <c r="B81" s="1">
        <v>45944</v>
      </c>
      <c r="C81" t="s">
        <v>59</v>
      </c>
      <c r="D81" t="s">
        <v>16</v>
      </c>
      <c r="E81">
        <v>55</v>
      </c>
      <c r="F81" t="s">
        <v>33</v>
      </c>
      <c r="G81" t="s">
        <v>46</v>
      </c>
      <c r="H81" t="s">
        <v>32</v>
      </c>
      <c r="I81">
        <v>4</v>
      </c>
      <c r="J81">
        <v>20</v>
      </c>
      <c r="K81">
        <v>80</v>
      </c>
      <c r="L81">
        <v>4</v>
      </c>
      <c r="M81">
        <v>76</v>
      </c>
      <c r="N81" s="4">
        <v>0.05</v>
      </c>
    </row>
    <row r="82" spans="1:14" x14ac:dyDescent="0.25">
      <c r="A82">
        <v>532</v>
      </c>
      <c r="B82" s="1">
        <v>45681</v>
      </c>
      <c r="C82" t="s">
        <v>60</v>
      </c>
      <c r="D82" t="s">
        <v>16</v>
      </c>
      <c r="E82">
        <v>22</v>
      </c>
      <c r="F82" t="s">
        <v>17</v>
      </c>
      <c r="G82" t="s">
        <v>38</v>
      </c>
      <c r="H82" t="s">
        <v>19</v>
      </c>
      <c r="I82">
        <v>5</v>
      </c>
      <c r="J82">
        <v>200</v>
      </c>
      <c r="K82">
        <v>1000</v>
      </c>
      <c r="L82">
        <v>110</v>
      </c>
      <c r="M82">
        <v>890</v>
      </c>
      <c r="N82" s="4">
        <v>0.11</v>
      </c>
    </row>
    <row r="83" spans="1:14" x14ac:dyDescent="0.25">
      <c r="A83">
        <v>534</v>
      </c>
      <c r="B83" s="1">
        <v>45669</v>
      </c>
      <c r="C83" t="s">
        <v>57</v>
      </c>
      <c r="D83" t="s">
        <v>16</v>
      </c>
      <c r="E83">
        <v>33</v>
      </c>
      <c r="F83" t="s">
        <v>23</v>
      </c>
      <c r="G83" t="s">
        <v>38</v>
      </c>
      <c r="H83" t="s">
        <v>19</v>
      </c>
      <c r="I83">
        <v>1</v>
      </c>
      <c r="J83">
        <v>800</v>
      </c>
      <c r="K83">
        <v>800</v>
      </c>
      <c r="L83">
        <v>224.00000000000003</v>
      </c>
      <c r="M83">
        <v>576</v>
      </c>
      <c r="N83" s="4">
        <v>0.28000000000000003</v>
      </c>
    </row>
    <row r="84" spans="1:14" x14ac:dyDescent="0.25">
      <c r="A84">
        <v>535</v>
      </c>
      <c r="B84" s="1">
        <v>45711</v>
      </c>
      <c r="C84" t="s">
        <v>58</v>
      </c>
      <c r="D84" t="s">
        <v>22</v>
      </c>
      <c r="E84">
        <v>32</v>
      </c>
      <c r="F84" t="s">
        <v>17</v>
      </c>
      <c r="G84" t="s">
        <v>46</v>
      </c>
      <c r="H84" t="s">
        <v>19</v>
      </c>
      <c r="I84">
        <v>1</v>
      </c>
      <c r="J84">
        <v>200</v>
      </c>
      <c r="K84">
        <v>200</v>
      </c>
      <c r="L84">
        <v>2</v>
      </c>
      <c r="M84">
        <v>198</v>
      </c>
      <c r="N84" s="4">
        <v>0.01</v>
      </c>
    </row>
    <row r="85" spans="1:14" x14ac:dyDescent="0.25">
      <c r="A85">
        <v>536</v>
      </c>
      <c r="B85" s="1">
        <v>45669</v>
      </c>
      <c r="C85" t="s">
        <v>59</v>
      </c>
      <c r="D85" t="s">
        <v>16</v>
      </c>
      <c r="E85">
        <v>41</v>
      </c>
      <c r="F85" t="s">
        <v>33</v>
      </c>
      <c r="G85" t="s">
        <v>38</v>
      </c>
      <c r="H85" t="s">
        <v>32</v>
      </c>
      <c r="I85">
        <v>4</v>
      </c>
      <c r="J85">
        <v>20</v>
      </c>
      <c r="K85">
        <v>80</v>
      </c>
      <c r="L85">
        <v>8</v>
      </c>
      <c r="M85">
        <v>72</v>
      </c>
      <c r="N85" s="4">
        <v>0.1</v>
      </c>
    </row>
    <row r="86" spans="1:14" x14ac:dyDescent="0.25">
      <c r="A86">
        <v>537</v>
      </c>
      <c r="B86" s="1">
        <v>45863</v>
      </c>
      <c r="C86" t="s">
        <v>60</v>
      </c>
      <c r="D86" t="s">
        <v>16</v>
      </c>
      <c r="E86">
        <v>43</v>
      </c>
      <c r="F86" t="s">
        <v>33</v>
      </c>
      <c r="G86" t="s">
        <v>38</v>
      </c>
      <c r="H86" t="s">
        <v>32</v>
      </c>
      <c r="I86">
        <v>4</v>
      </c>
      <c r="J86">
        <v>20</v>
      </c>
      <c r="K86">
        <v>80</v>
      </c>
      <c r="L86">
        <v>3.2</v>
      </c>
      <c r="M86">
        <v>76.8</v>
      </c>
      <c r="N86" s="4">
        <v>0.04</v>
      </c>
    </row>
    <row r="87" spans="1:14" x14ac:dyDescent="0.25">
      <c r="A87">
        <v>538</v>
      </c>
      <c r="B87" s="1">
        <v>45961</v>
      </c>
      <c r="C87" t="s">
        <v>57</v>
      </c>
      <c r="D87" t="s">
        <v>16</v>
      </c>
      <c r="E87">
        <v>25</v>
      </c>
      <c r="F87" t="s">
        <v>35</v>
      </c>
      <c r="G87" t="s">
        <v>38</v>
      </c>
      <c r="H87" t="s">
        <v>32</v>
      </c>
      <c r="I87">
        <v>1</v>
      </c>
      <c r="J87">
        <v>50</v>
      </c>
      <c r="K87">
        <v>50</v>
      </c>
      <c r="L87">
        <v>0.5</v>
      </c>
      <c r="M87">
        <v>49.5</v>
      </c>
      <c r="N87" s="4">
        <v>0.01</v>
      </c>
    </row>
    <row r="88" spans="1:14" x14ac:dyDescent="0.25">
      <c r="A88">
        <v>539</v>
      </c>
      <c r="B88" s="1">
        <v>45678</v>
      </c>
      <c r="C88" t="s">
        <v>58</v>
      </c>
      <c r="D88" t="s">
        <v>16</v>
      </c>
      <c r="E88">
        <v>60</v>
      </c>
      <c r="F88" t="s">
        <v>33</v>
      </c>
      <c r="G88" t="s">
        <v>45</v>
      </c>
      <c r="H88" t="s">
        <v>32</v>
      </c>
      <c r="I88">
        <v>5</v>
      </c>
      <c r="J88">
        <v>20</v>
      </c>
      <c r="K88">
        <v>100</v>
      </c>
      <c r="L88">
        <v>13</v>
      </c>
      <c r="M88">
        <v>87</v>
      </c>
      <c r="N88" s="4">
        <v>0.13</v>
      </c>
    </row>
    <row r="89" spans="1:14" x14ac:dyDescent="0.25">
      <c r="A89">
        <v>540</v>
      </c>
      <c r="B89" s="1">
        <v>45676</v>
      </c>
      <c r="C89" t="s">
        <v>59</v>
      </c>
      <c r="D89" t="s">
        <v>22</v>
      </c>
      <c r="E89">
        <v>47</v>
      </c>
      <c r="F89" t="s">
        <v>35</v>
      </c>
      <c r="G89" t="s">
        <v>38</v>
      </c>
      <c r="H89" t="s">
        <v>32</v>
      </c>
      <c r="I89">
        <v>3</v>
      </c>
      <c r="J89">
        <v>50</v>
      </c>
      <c r="K89">
        <v>150</v>
      </c>
      <c r="L89">
        <v>9</v>
      </c>
      <c r="M89">
        <v>141</v>
      </c>
      <c r="N89" s="4">
        <v>0.06</v>
      </c>
    </row>
    <row r="90" spans="1:14" x14ac:dyDescent="0.25">
      <c r="A90">
        <v>541</v>
      </c>
      <c r="B90" s="1">
        <v>45779</v>
      </c>
      <c r="C90" t="s">
        <v>60</v>
      </c>
      <c r="D90" t="s">
        <v>16</v>
      </c>
      <c r="E90">
        <v>26</v>
      </c>
      <c r="F90" t="s">
        <v>35</v>
      </c>
      <c r="G90" t="s">
        <v>18</v>
      </c>
      <c r="H90" t="s">
        <v>32</v>
      </c>
      <c r="I90">
        <v>4</v>
      </c>
      <c r="J90">
        <v>50</v>
      </c>
      <c r="K90">
        <v>200</v>
      </c>
      <c r="L90">
        <v>24</v>
      </c>
      <c r="M90">
        <v>176</v>
      </c>
      <c r="N90" s="4">
        <v>0.12</v>
      </c>
    </row>
    <row r="91" spans="1:14" x14ac:dyDescent="0.25">
      <c r="A91">
        <v>542</v>
      </c>
      <c r="B91" s="1">
        <v>45807</v>
      </c>
      <c r="C91" t="s">
        <v>57</v>
      </c>
      <c r="D91" t="s">
        <v>16</v>
      </c>
      <c r="E91">
        <v>45</v>
      </c>
      <c r="F91" t="s">
        <v>30</v>
      </c>
      <c r="G91" t="s">
        <v>38</v>
      </c>
      <c r="H91" t="s">
        <v>32</v>
      </c>
      <c r="I91">
        <v>1</v>
      </c>
      <c r="J91">
        <v>35</v>
      </c>
      <c r="K91">
        <v>35</v>
      </c>
      <c r="L91">
        <v>0.70000000000000007</v>
      </c>
      <c r="M91">
        <v>34.299999999999997</v>
      </c>
      <c r="N91" s="4">
        <v>0.02</v>
      </c>
    </row>
    <row r="92" spans="1:14" x14ac:dyDescent="0.25">
      <c r="A92">
        <v>543</v>
      </c>
      <c r="B92" s="1">
        <v>45802</v>
      </c>
      <c r="C92" t="s">
        <v>58</v>
      </c>
      <c r="D92" t="s">
        <v>16</v>
      </c>
      <c r="E92">
        <v>38</v>
      </c>
      <c r="F92" t="s">
        <v>23</v>
      </c>
      <c r="G92" t="s">
        <v>38</v>
      </c>
      <c r="H92" t="s">
        <v>19</v>
      </c>
      <c r="I92">
        <v>1</v>
      </c>
      <c r="J92">
        <v>800</v>
      </c>
      <c r="K92">
        <v>800</v>
      </c>
      <c r="L92">
        <v>112.00000000000001</v>
      </c>
      <c r="M92">
        <v>688</v>
      </c>
      <c r="N92" s="4">
        <v>0.14000000000000001</v>
      </c>
    </row>
    <row r="93" spans="1:14" x14ac:dyDescent="0.25">
      <c r="A93">
        <v>544</v>
      </c>
      <c r="B93" s="1">
        <v>45816</v>
      </c>
      <c r="C93" t="s">
        <v>59</v>
      </c>
      <c r="D93" t="s">
        <v>16</v>
      </c>
      <c r="E93">
        <v>70</v>
      </c>
      <c r="F93" t="s">
        <v>30</v>
      </c>
      <c r="G93" t="s">
        <v>43</v>
      </c>
      <c r="H93" t="s">
        <v>32</v>
      </c>
      <c r="I93">
        <v>5</v>
      </c>
      <c r="J93">
        <v>35</v>
      </c>
      <c r="K93">
        <v>175</v>
      </c>
      <c r="L93">
        <v>3.5</v>
      </c>
      <c r="M93">
        <v>171.5</v>
      </c>
      <c r="N93" s="4">
        <v>0.02</v>
      </c>
    </row>
    <row r="94" spans="1:14" x14ac:dyDescent="0.25">
      <c r="A94">
        <v>545</v>
      </c>
      <c r="B94" s="1">
        <v>45669</v>
      </c>
      <c r="C94" t="s">
        <v>60</v>
      </c>
      <c r="D94" t="s">
        <v>16</v>
      </c>
      <c r="E94">
        <v>52</v>
      </c>
      <c r="F94" t="s">
        <v>17</v>
      </c>
      <c r="G94" t="s">
        <v>43</v>
      </c>
      <c r="H94" t="s">
        <v>19</v>
      </c>
      <c r="I94">
        <v>2</v>
      </c>
      <c r="J94">
        <v>200</v>
      </c>
      <c r="K94">
        <v>400</v>
      </c>
      <c r="L94">
        <v>60</v>
      </c>
      <c r="M94">
        <v>340</v>
      </c>
      <c r="N94" s="4">
        <v>0.15</v>
      </c>
    </row>
    <row r="95" spans="1:14" x14ac:dyDescent="0.25">
      <c r="A95">
        <v>547</v>
      </c>
      <c r="B95" s="1">
        <v>45690</v>
      </c>
      <c r="C95" t="s">
        <v>57</v>
      </c>
      <c r="D95" t="s">
        <v>16</v>
      </c>
      <c r="E95">
        <v>48</v>
      </c>
      <c r="F95" t="s">
        <v>17</v>
      </c>
      <c r="G95" t="s">
        <v>46</v>
      </c>
      <c r="H95" t="s">
        <v>19</v>
      </c>
      <c r="I95">
        <v>2</v>
      </c>
      <c r="J95">
        <v>200</v>
      </c>
      <c r="K95">
        <v>400</v>
      </c>
      <c r="L95">
        <v>48</v>
      </c>
      <c r="M95">
        <v>352</v>
      </c>
      <c r="N95" s="4">
        <v>0.12</v>
      </c>
    </row>
    <row r="96" spans="1:14" x14ac:dyDescent="0.25">
      <c r="A96">
        <v>548</v>
      </c>
      <c r="B96" s="1">
        <v>45832</v>
      </c>
      <c r="C96" t="s">
        <v>58</v>
      </c>
      <c r="D96" t="s">
        <v>16</v>
      </c>
      <c r="E96">
        <v>64</v>
      </c>
      <c r="F96" t="s">
        <v>30</v>
      </c>
      <c r="G96" t="s">
        <v>43</v>
      </c>
      <c r="H96" t="s">
        <v>32</v>
      </c>
      <c r="I96">
        <v>3</v>
      </c>
      <c r="J96">
        <v>35</v>
      </c>
      <c r="K96">
        <v>105</v>
      </c>
      <c r="L96">
        <v>8.4</v>
      </c>
      <c r="M96">
        <v>96.6</v>
      </c>
      <c r="N96" s="4">
        <v>0.08</v>
      </c>
    </row>
    <row r="97" spans="1:14" x14ac:dyDescent="0.25">
      <c r="A97">
        <v>549</v>
      </c>
      <c r="B97" s="1">
        <v>45856</v>
      </c>
      <c r="C97" t="s">
        <v>59</v>
      </c>
      <c r="D97" t="s">
        <v>16</v>
      </c>
      <c r="E97">
        <v>53</v>
      </c>
      <c r="F97" t="s">
        <v>30</v>
      </c>
      <c r="G97" t="s">
        <v>38</v>
      </c>
      <c r="H97" t="s">
        <v>32</v>
      </c>
      <c r="I97">
        <v>3</v>
      </c>
      <c r="J97">
        <v>35</v>
      </c>
      <c r="K97">
        <v>105</v>
      </c>
      <c r="L97">
        <v>3.15</v>
      </c>
      <c r="M97">
        <v>101.85</v>
      </c>
      <c r="N97" s="4">
        <v>0.03</v>
      </c>
    </row>
    <row r="98" spans="1:14" x14ac:dyDescent="0.25">
      <c r="A98">
        <v>550</v>
      </c>
      <c r="B98" s="1">
        <v>45705</v>
      </c>
      <c r="C98" t="s">
        <v>60</v>
      </c>
      <c r="D98" t="s">
        <v>16</v>
      </c>
      <c r="E98">
        <v>69</v>
      </c>
      <c r="F98" t="s">
        <v>30</v>
      </c>
      <c r="G98" t="s">
        <v>43</v>
      </c>
      <c r="H98" t="s">
        <v>32</v>
      </c>
      <c r="I98">
        <v>5</v>
      </c>
      <c r="J98">
        <v>35</v>
      </c>
      <c r="K98">
        <v>175</v>
      </c>
      <c r="L98">
        <v>24.500000000000004</v>
      </c>
      <c r="M98">
        <v>150.5</v>
      </c>
      <c r="N98" s="4">
        <v>0.14000000000000001</v>
      </c>
    </row>
    <row r="99" spans="1:14" x14ac:dyDescent="0.25">
      <c r="A99">
        <v>551</v>
      </c>
      <c r="B99" s="1">
        <v>45733</v>
      </c>
      <c r="C99" t="s">
        <v>57</v>
      </c>
      <c r="D99" t="s">
        <v>16</v>
      </c>
      <c r="E99">
        <v>55</v>
      </c>
      <c r="F99" t="s">
        <v>33</v>
      </c>
      <c r="G99" t="s">
        <v>38</v>
      </c>
      <c r="H99" t="s">
        <v>32</v>
      </c>
      <c r="I99">
        <v>3</v>
      </c>
      <c r="J99">
        <v>20</v>
      </c>
      <c r="K99">
        <v>60</v>
      </c>
      <c r="L99">
        <v>0.6</v>
      </c>
      <c r="M99">
        <v>59.4</v>
      </c>
      <c r="N99" s="4">
        <v>0.01</v>
      </c>
    </row>
    <row r="100" spans="1:14" x14ac:dyDescent="0.25">
      <c r="A100">
        <v>552</v>
      </c>
      <c r="B100" s="1">
        <v>45809</v>
      </c>
      <c r="C100" t="s">
        <v>58</v>
      </c>
      <c r="D100" t="s">
        <v>16</v>
      </c>
      <c r="E100">
        <v>52</v>
      </c>
      <c r="F100" t="s">
        <v>23</v>
      </c>
      <c r="G100" t="s">
        <v>45</v>
      </c>
      <c r="H100" t="s">
        <v>19</v>
      </c>
      <c r="I100">
        <v>1</v>
      </c>
      <c r="J100">
        <v>800</v>
      </c>
      <c r="K100">
        <v>800</v>
      </c>
      <c r="L100">
        <v>48</v>
      </c>
      <c r="M100">
        <v>752</v>
      </c>
      <c r="N100" s="4">
        <v>0.06</v>
      </c>
    </row>
    <row r="101" spans="1:14" x14ac:dyDescent="0.25">
      <c r="A101">
        <v>553</v>
      </c>
      <c r="B101" s="1">
        <v>45832</v>
      </c>
      <c r="C101" t="s">
        <v>59</v>
      </c>
      <c r="D101" t="s">
        <v>16</v>
      </c>
      <c r="E101">
        <v>23</v>
      </c>
      <c r="F101" t="s">
        <v>17</v>
      </c>
      <c r="G101" t="s">
        <v>38</v>
      </c>
      <c r="H101" t="s">
        <v>19</v>
      </c>
      <c r="I101">
        <v>2</v>
      </c>
      <c r="J101">
        <v>200</v>
      </c>
      <c r="K101">
        <v>400</v>
      </c>
      <c r="L101">
        <v>36</v>
      </c>
      <c r="M101">
        <v>364</v>
      </c>
      <c r="N101" s="4">
        <v>0.09</v>
      </c>
    </row>
    <row r="102" spans="1:14" x14ac:dyDescent="0.25">
      <c r="A102">
        <v>554</v>
      </c>
      <c r="B102" s="1">
        <v>45809</v>
      </c>
      <c r="C102" t="s">
        <v>60</v>
      </c>
      <c r="D102" t="s">
        <v>16</v>
      </c>
      <c r="E102">
        <v>33</v>
      </c>
      <c r="F102" t="s">
        <v>17</v>
      </c>
      <c r="G102" t="s">
        <v>18</v>
      </c>
      <c r="H102" t="s">
        <v>19</v>
      </c>
      <c r="I102">
        <v>1</v>
      </c>
      <c r="J102">
        <v>200</v>
      </c>
      <c r="K102">
        <v>200</v>
      </c>
      <c r="L102">
        <v>10</v>
      </c>
      <c r="M102">
        <v>190</v>
      </c>
      <c r="N102" s="4">
        <v>0.05</v>
      </c>
    </row>
    <row r="103" spans="1:14" x14ac:dyDescent="0.25">
      <c r="A103">
        <v>555</v>
      </c>
      <c r="B103" s="1">
        <v>45722</v>
      </c>
      <c r="C103" t="s">
        <v>57</v>
      </c>
      <c r="D103" t="s">
        <v>22</v>
      </c>
      <c r="E103">
        <v>58</v>
      </c>
      <c r="F103" t="s">
        <v>23</v>
      </c>
      <c r="G103" t="s">
        <v>18</v>
      </c>
      <c r="H103" t="s">
        <v>19</v>
      </c>
      <c r="I103">
        <v>1</v>
      </c>
      <c r="J103">
        <v>800</v>
      </c>
      <c r="K103">
        <v>800</v>
      </c>
      <c r="L103">
        <v>104</v>
      </c>
      <c r="M103">
        <v>696</v>
      </c>
      <c r="N103" s="4">
        <v>0.13</v>
      </c>
    </row>
    <row r="104" spans="1:14" x14ac:dyDescent="0.25">
      <c r="A104">
        <v>556</v>
      </c>
      <c r="B104" s="1">
        <v>45787</v>
      </c>
      <c r="C104" t="s">
        <v>58</v>
      </c>
      <c r="D104" t="s">
        <v>16</v>
      </c>
      <c r="E104">
        <v>41</v>
      </c>
      <c r="F104" t="s">
        <v>30</v>
      </c>
      <c r="G104" t="s">
        <v>46</v>
      </c>
      <c r="H104" t="s">
        <v>32</v>
      </c>
      <c r="I104">
        <v>3</v>
      </c>
      <c r="J104">
        <v>35</v>
      </c>
      <c r="K104">
        <v>105</v>
      </c>
      <c r="L104">
        <v>2.1</v>
      </c>
      <c r="M104">
        <v>102.9</v>
      </c>
      <c r="N104" s="4">
        <v>0.02</v>
      </c>
    </row>
    <row r="105" spans="1:14" x14ac:dyDescent="0.25">
      <c r="A105">
        <v>557</v>
      </c>
      <c r="B105" s="1">
        <v>45953</v>
      </c>
      <c r="C105" t="s">
        <v>59</v>
      </c>
      <c r="D105" t="s">
        <v>16</v>
      </c>
      <c r="E105">
        <v>67</v>
      </c>
      <c r="F105" t="s">
        <v>33</v>
      </c>
      <c r="G105" t="s">
        <v>45</v>
      </c>
      <c r="H105" t="s">
        <v>32</v>
      </c>
      <c r="I105">
        <v>4</v>
      </c>
      <c r="J105">
        <v>20</v>
      </c>
      <c r="K105">
        <v>80</v>
      </c>
      <c r="L105">
        <v>10.4</v>
      </c>
      <c r="M105">
        <v>69.599999999999994</v>
      </c>
      <c r="N105" s="4">
        <v>0.13</v>
      </c>
    </row>
    <row r="106" spans="1:14" x14ac:dyDescent="0.25">
      <c r="A106">
        <v>558</v>
      </c>
      <c r="B106" s="1">
        <v>45793</v>
      </c>
      <c r="C106" t="s">
        <v>60</v>
      </c>
      <c r="D106" t="s">
        <v>16</v>
      </c>
      <c r="E106">
        <v>22</v>
      </c>
      <c r="F106" t="s">
        <v>17</v>
      </c>
      <c r="G106" t="s">
        <v>45</v>
      </c>
      <c r="H106" t="s">
        <v>19</v>
      </c>
      <c r="I106">
        <v>4</v>
      </c>
      <c r="J106">
        <v>200</v>
      </c>
      <c r="K106">
        <v>800</v>
      </c>
      <c r="L106">
        <v>24</v>
      </c>
      <c r="M106">
        <v>776</v>
      </c>
      <c r="N106" s="4">
        <v>0.03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AEBB-9AF3-4824-A4E2-B92A4A96D878}">
  <dimension ref="A1:N115"/>
  <sheetViews>
    <sheetView workbookViewId="0">
      <selection activeCell="H48" sqref="H48"/>
    </sheetView>
  </sheetViews>
  <sheetFormatPr defaultRowHeight="15" x14ac:dyDescent="0.25"/>
  <cols>
    <col min="1" max="1" width="10.42578125" customWidth="1"/>
    <col min="3" max="3" width="12.7109375" customWidth="1"/>
    <col min="4" max="4" width="12.28515625" customWidth="1"/>
    <col min="5" max="5" width="9.85546875" customWidth="1"/>
    <col min="7" max="7" width="10" customWidth="1"/>
    <col min="8" max="8" width="14.28515625" customWidth="1"/>
    <col min="9" max="9" width="11" customWidth="1"/>
    <col min="10" max="10" width="10.85546875" customWidth="1"/>
    <col min="12" max="12" width="11" customWidth="1"/>
    <col min="13" max="13" width="10.85546875" customWidth="1"/>
    <col min="14" max="14" width="14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450</v>
      </c>
      <c r="B2">
        <v>45736</v>
      </c>
      <c r="C2" t="s">
        <v>14</v>
      </c>
      <c r="D2" t="s">
        <v>15</v>
      </c>
      <c r="E2" t="s">
        <v>16</v>
      </c>
      <c r="F2">
        <v>53.28</v>
      </c>
      <c r="G2" t="s">
        <v>17</v>
      </c>
      <c r="H2" t="s">
        <v>18</v>
      </c>
      <c r="I2" t="s">
        <v>19</v>
      </c>
      <c r="J2">
        <v>3</v>
      </c>
      <c r="K2">
        <v>200</v>
      </c>
      <c r="L2">
        <v>600</v>
      </c>
      <c r="M2">
        <v>36</v>
      </c>
      <c r="N2">
        <v>564</v>
      </c>
    </row>
    <row r="3" spans="1:14" x14ac:dyDescent="0.25">
      <c r="A3">
        <v>451</v>
      </c>
      <c r="B3">
        <v>45704</v>
      </c>
      <c r="C3" t="s">
        <v>20</v>
      </c>
      <c r="D3" t="s">
        <v>21</v>
      </c>
      <c r="E3" t="s">
        <v>22</v>
      </c>
      <c r="F3">
        <v>37.200000000000003</v>
      </c>
      <c r="G3" t="s">
        <v>23</v>
      </c>
      <c r="H3" t="s">
        <v>24</v>
      </c>
      <c r="I3" t="s">
        <v>19</v>
      </c>
      <c r="J3">
        <v>1</v>
      </c>
      <c r="K3">
        <v>800</v>
      </c>
      <c r="L3">
        <v>800</v>
      </c>
      <c r="M3">
        <v>0</v>
      </c>
      <c r="N3">
        <v>800</v>
      </c>
    </row>
    <row r="4" spans="1:14" x14ac:dyDescent="0.25">
      <c r="A4">
        <v>452</v>
      </c>
      <c r="B4">
        <v>45935</v>
      </c>
      <c r="C4" t="s">
        <v>25</v>
      </c>
      <c r="D4" t="s">
        <v>26</v>
      </c>
      <c r="E4" t="s">
        <v>16</v>
      </c>
      <c r="F4">
        <v>55.54</v>
      </c>
      <c r="G4" t="s">
        <v>17</v>
      </c>
      <c r="H4" t="s">
        <v>27</v>
      </c>
      <c r="I4" t="s">
        <v>19</v>
      </c>
      <c r="J4">
        <v>2</v>
      </c>
      <c r="K4">
        <v>200</v>
      </c>
      <c r="L4">
        <v>400</v>
      </c>
      <c r="M4">
        <v>56.000000000000007</v>
      </c>
      <c r="N4">
        <v>344</v>
      </c>
    </row>
    <row r="5" spans="1:14" x14ac:dyDescent="0.25">
      <c r="A5">
        <v>453</v>
      </c>
      <c r="B5">
        <v>45860</v>
      </c>
      <c r="C5" t="s">
        <v>28</v>
      </c>
      <c r="D5" t="s">
        <v>29</v>
      </c>
      <c r="E5" t="s">
        <v>16</v>
      </c>
      <c r="F5">
        <v>65.92</v>
      </c>
      <c r="G5" t="s">
        <v>30</v>
      </c>
      <c r="H5" t="s">
        <v>31</v>
      </c>
      <c r="I5" t="s">
        <v>32</v>
      </c>
      <c r="J5">
        <v>3</v>
      </c>
      <c r="K5">
        <v>35</v>
      </c>
      <c r="L5">
        <v>105</v>
      </c>
      <c r="M5">
        <v>0</v>
      </c>
      <c r="N5">
        <v>105</v>
      </c>
    </row>
    <row r="6" spans="1:14" x14ac:dyDescent="0.25">
      <c r="A6">
        <v>454</v>
      </c>
      <c r="B6">
        <v>45842</v>
      </c>
      <c r="C6" t="s">
        <v>14</v>
      </c>
      <c r="D6" t="s">
        <v>15</v>
      </c>
      <c r="E6" t="s">
        <v>16</v>
      </c>
      <c r="F6">
        <v>41.9</v>
      </c>
      <c r="G6" t="s">
        <v>33</v>
      </c>
      <c r="H6" t="s">
        <v>34</v>
      </c>
      <c r="I6" t="s">
        <v>32</v>
      </c>
      <c r="J6">
        <v>4</v>
      </c>
      <c r="K6">
        <v>20</v>
      </c>
      <c r="L6">
        <v>80</v>
      </c>
      <c r="M6">
        <v>7.1999999999999993</v>
      </c>
      <c r="N6">
        <v>72.8</v>
      </c>
    </row>
    <row r="7" spans="1:14" x14ac:dyDescent="0.25">
      <c r="A7">
        <v>455</v>
      </c>
      <c r="B7">
        <v>45731</v>
      </c>
      <c r="C7" t="s">
        <v>20</v>
      </c>
      <c r="D7" t="s">
        <v>21</v>
      </c>
      <c r="E7" t="s">
        <v>16</v>
      </c>
      <c r="F7">
        <v>22.57</v>
      </c>
      <c r="G7" t="s">
        <v>35</v>
      </c>
      <c r="H7" t="s">
        <v>36</v>
      </c>
      <c r="I7" t="s">
        <v>32</v>
      </c>
      <c r="J7">
        <v>2</v>
      </c>
      <c r="K7">
        <v>50</v>
      </c>
      <c r="L7">
        <v>100</v>
      </c>
      <c r="M7">
        <v>4</v>
      </c>
      <c r="N7">
        <v>96</v>
      </c>
    </row>
    <row r="8" spans="1:14" x14ac:dyDescent="0.25">
      <c r="A8">
        <v>453</v>
      </c>
      <c r="B8">
        <v>45860</v>
      </c>
      <c r="C8" t="s">
        <v>28</v>
      </c>
      <c r="D8" t="s">
        <v>29</v>
      </c>
      <c r="E8" t="s">
        <v>16</v>
      </c>
      <c r="F8">
        <v>65.45</v>
      </c>
      <c r="G8" t="s">
        <v>30</v>
      </c>
      <c r="H8" t="s">
        <v>34</v>
      </c>
      <c r="I8" t="s">
        <v>32</v>
      </c>
      <c r="J8">
        <v>3</v>
      </c>
      <c r="K8">
        <v>35</v>
      </c>
      <c r="L8">
        <v>105</v>
      </c>
      <c r="M8">
        <v>6.3</v>
      </c>
      <c r="N8">
        <v>98.7</v>
      </c>
    </row>
    <row r="9" spans="1:14" x14ac:dyDescent="0.25">
      <c r="A9">
        <v>456</v>
      </c>
      <c r="B9">
        <v>45771</v>
      </c>
      <c r="C9" t="s">
        <v>25</v>
      </c>
      <c r="D9" t="s">
        <v>26</v>
      </c>
      <c r="E9" t="s">
        <v>22</v>
      </c>
      <c r="F9">
        <v>46.64</v>
      </c>
      <c r="G9" t="s">
        <v>23</v>
      </c>
      <c r="H9" t="s">
        <v>37</v>
      </c>
      <c r="I9" t="s">
        <v>19</v>
      </c>
      <c r="J9">
        <v>1</v>
      </c>
      <c r="K9">
        <v>800</v>
      </c>
      <c r="L9">
        <v>800</v>
      </c>
      <c r="M9">
        <v>0</v>
      </c>
      <c r="N9">
        <v>800</v>
      </c>
    </row>
    <row r="10" spans="1:14" x14ac:dyDescent="0.25">
      <c r="A10">
        <v>457</v>
      </c>
      <c r="B10">
        <v>45831</v>
      </c>
      <c r="C10" t="s">
        <v>28</v>
      </c>
      <c r="D10" t="s">
        <v>29</v>
      </c>
      <c r="E10" t="s">
        <v>16</v>
      </c>
      <c r="F10">
        <v>22.81</v>
      </c>
      <c r="G10" t="s">
        <v>35</v>
      </c>
      <c r="H10" t="s">
        <v>38</v>
      </c>
      <c r="I10" t="s">
        <v>32</v>
      </c>
      <c r="J10">
        <v>2</v>
      </c>
      <c r="K10">
        <v>50</v>
      </c>
      <c r="L10">
        <v>100</v>
      </c>
      <c r="M10">
        <v>10</v>
      </c>
      <c r="N10">
        <v>90</v>
      </c>
    </row>
    <row r="11" spans="1:14" x14ac:dyDescent="0.25">
      <c r="A11">
        <v>458</v>
      </c>
      <c r="B11">
        <v>45889</v>
      </c>
      <c r="C11" t="s">
        <v>14</v>
      </c>
      <c r="D11" t="s">
        <v>15</v>
      </c>
      <c r="E11" t="s">
        <v>16</v>
      </c>
      <c r="F11">
        <v>24.44</v>
      </c>
      <c r="G11" t="s">
        <v>23</v>
      </c>
      <c r="H11" t="s">
        <v>27</v>
      </c>
      <c r="I11" t="s">
        <v>19</v>
      </c>
      <c r="J11">
        <v>1</v>
      </c>
      <c r="K11">
        <v>800</v>
      </c>
      <c r="L11">
        <v>800</v>
      </c>
      <c r="M11">
        <v>0</v>
      </c>
      <c r="N11">
        <v>800</v>
      </c>
    </row>
    <row r="12" spans="1:14" x14ac:dyDescent="0.25">
      <c r="H12" t="s">
        <v>39</v>
      </c>
    </row>
    <row r="13" spans="1:14" x14ac:dyDescent="0.25">
      <c r="A13">
        <v>460</v>
      </c>
      <c r="B13">
        <v>45661</v>
      </c>
      <c r="C13" t="s">
        <v>20</v>
      </c>
      <c r="D13" t="s">
        <v>21</v>
      </c>
      <c r="E13" t="s">
        <v>16</v>
      </c>
      <c r="F13">
        <v>57.34</v>
      </c>
      <c r="G13" t="s">
        <v>30</v>
      </c>
      <c r="H13" t="s">
        <v>34</v>
      </c>
      <c r="I13" t="s">
        <v>32</v>
      </c>
      <c r="J13">
        <v>2</v>
      </c>
      <c r="K13">
        <v>35</v>
      </c>
      <c r="L13">
        <v>70</v>
      </c>
      <c r="M13">
        <v>4.2</v>
      </c>
      <c r="N13">
        <v>65.8</v>
      </c>
    </row>
    <row r="14" spans="1:14" x14ac:dyDescent="0.25">
      <c r="A14">
        <v>461</v>
      </c>
      <c r="B14">
        <v>45937</v>
      </c>
      <c r="C14" t="s">
        <v>25</v>
      </c>
      <c r="D14" t="s">
        <v>26</v>
      </c>
      <c r="E14" t="s">
        <v>16</v>
      </c>
      <c r="F14">
        <v>41.05</v>
      </c>
      <c r="G14" t="s">
        <v>23</v>
      </c>
      <c r="H14" t="s">
        <v>40</v>
      </c>
      <c r="I14" t="s">
        <v>19</v>
      </c>
      <c r="J14">
        <v>1</v>
      </c>
      <c r="K14">
        <v>800</v>
      </c>
      <c r="L14">
        <v>800</v>
      </c>
      <c r="M14">
        <v>0</v>
      </c>
      <c r="N14">
        <v>800</v>
      </c>
    </row>
    <row r="15" spans="1:14" x14ac:dyDescent="0.25">
      <c r="A15">
        <v>462</v>
      </c>
      <c r="B15">
        <v>45903</v>
      </c>
      <c r="C15" t="s">
        <v>28</v>
      </c>
      <c r="D15" t="s">
        <v>29</v>
      </c>
      <c r="E15" t="s">
        <v>16</v>
      </c>
      <c r="F15">
        <v>57.51</v>
      </c>
      <c r="G15" t="s">
        <v>33</v>
      </c>
      <c r="H15" t="s">
        <v>18</v>
      </c>
      <c r="I15" t="s">
        <v>32</v>
      </c>
      <c r="J15">
        <v>2</v>
      </c>
      <c r="K15">
        <v>20</v>
      </c>
      <c r="L15">
        <v>40</v>
      </c>
      <c r="M15">
        <v>5.6000000000000005</v>
      </c>
      <c r="N15">
        <v>34.4</v>
      </c>
    </row>
    <row r="16" spans="1:14" x14ac:dyDescent="0.25">
      <c r="A16">
        <v>462</v>
      </c>
      <c r="B16">
        <v>45903</v>
      </c>
      <c r="C16" t="s">
        <v>28</v>
      </c>
      <c r="D16" t="s">
        <v>29</v>
      </c>
      <c r="E16" t="s">
        <v>16</v>
      </c>
      <c r="F16">
        <v>57.29</v>
      </c>
      <c r="G16" t="s">
        <v>33</v>
      </c>
      <c r="H16" t="s">
        <v>18</v>
      </c>
      <c r="I16" t="s">
        <v>32</v>
      </c>
      <c r="J16">
        <v>2</v>
      </c>
      <c r="K16">
        <v>20</v>
      </c>
      <c r="L16">
        <v>40</v>
      </c>
      <c r="M16">
        <v>0.4</v>
      </c>
      <c r="N16">
        <v>39.6</v>
      </c>
    </row>
    <row r="17" spans="1:14" x14ac:dyDescent="0.25">
      <c r="A17">
        <v>463</v>
      </c>
      <c r="B17">
        <v>45678</v>
      </c>
      <c r="C17" t="s">
        <v>14</v>
      </c>
      <c r="D17" t="s">
        <v>15</v>
      </c>
      <c r="E17" t="s">
        <v>16</v>
      </c>
      <c r="F17">
        <v>47.78</v>
      </c>
      <c r="G17" t="s">
        <v>35</v>
      </c>
      <c r="H17" t="s">
        <v>40</v>
      </c>
      <c r="I17" t="s">
        <v>32</v>
      </c>
      <c r="J17">
        <v>1</v>
      </c>
      <c r="K17">
        <v>50</v>
      </c>
      <c r="L17">
        <v>50</v>
      </c>
      <c r="M17">
        <v>1</v>
      </c>
      <c r="N17">
        <v>49</v>
      </c>
    </row>
    <row r="18" spans="1:14" x14ac:dyDescent="0.25">
      <c r="A18">
        <v>464</v>
      </c>
      <c r="B18">
        <v>45686</v>
      </c>
      <c r="C18" t="s">
        <v>20</v>
      </c>
      <c r="D18" t="s">
        <v>21</v>
      </c>
      <c r="E18" t="s">
        <v>16</v>
      </c>
      <c r="F18">
        <v>51.85</v>
      </c>
      <c r="G18" t="s">
        <v>33</v>
      </c>
      <c r="H18" t="s">
        <v>38</v>
      </c>
      <c r="I18" t="s">
        <v>32</v>
      </c>
      <c r="J18">
        <v>4</v>
      </c>
      <c r="K18">
        <v>20</v>
      </c>
      <c r="L18">
        <v>80</v>
      </c>
      <c r="M18">
        <v>7.1999999999999993</v>
      </c>
      <c r="N18">
        <v>72.8</v>
      </c>
    </row>
    <row r="19" spans="1:14" x14ac:dyDescent="0.25">
      <c r="A19">
        <v>465</v>
      </c>
      <c r="B19">
        <v>45788</v>
      </c>
      <c r="C19" t="s">
        <v>25</v>
      </c>
      <c r="D19" t="s">
        <v>26</v>
      </c>
      <c r="E19" t="s">
        <v>16</v>
      </c>
      <c r="F19">
        <v>55.27</v>
      </c>
      <c r="G19" t="s">
        <v>35</v>
      </c>
      <c r="H19" t="s">
        <v>27</v>
      </c>
      <c r="I19" t="s">
        <v>32</v>
      </c>
      <c r="J19">
        <v>4</v>
      </c>
      <c r="K19">
        <v>50</v>
      </c>
      <c r="L19">
        <v>200</v>
      </c>
      <c r="M19">
        <v>2</v>
      </c>
      <c r="N19">
        <v>198</v>
      </c>
    </row>
    <row r="20" spans="1:14" x14ac:dyDescent="0.25">
      <c r="A20">
        <v>466</v>
      </c>
      <c r="B20">
        <v>45810</v>
      </c>
      <c r="C20" t="s">
        <v>28</v>
      </c>
      <c r="D20" t="s">
        <v>29</v>
      </c>
      <c r="E20" t="s">
        <v>16</v>
      </c>
      <c r="F20">
        <v>30.02</v>
      </c>
      <c r="G20" t="s">
        <v>33</v>
      </c>
      <c r="H20" t="s">
        <v>18</v>
      </c>
      <c r="I20" t="s">
        <v>32</v>
      </c>
      <c r="J20">
        <v>1</v>
      </c>
      <c r="K20">
        <v>20</v>
      </c>
      <c r="L20">
        <v>20</v>
      </c>
      <c r="M20">
        <v>1.4000000000000001</v>
      </c>
      <c r="N20">
        <v>18.600000000000001</v>
      </c>
    </row>
    <row r="21" spans="1:14" x14ac:dyDescent="0.25">
      <c r="A21">
        <v>467</v>
      </c>
      <c r="B21">
        <v>45767</v>
      </c>
      <c r="C21" t="s">
        <v>14</v>
      </c>
      <c r="D21" t="s">
        <v>15</v>
      </c>
      <c r="E21" t="s">
        <v>16</v>
      </c>
      <c r="F21">
        <v>30.37</v>
      </c>
      <c r="G21" t="s">
        <v>33</v>
      </c>
      <c r="H21" t="s">
        <v>27</v>
      </c>
      <c r="I21" t="s">
        <v>32</v>
      </c>
      <c r="J21">
        <v>1</v>
      </c>
      <c r="K21">
        <v>20</v>
      </c>
      <c r="L21">
        <v>20</v>
      </c>
      <c r="M21">
        <v>3</v>
      </c>
      <c r="N21">
        <v>17</v>
      </c>
    </row>
    <row r="22" spans="1:14" x14ac:dyDescent="0.25">
      <c r="H22" t="s">
        <v>39</v>
      </c>
    </row>
    <row r="23" spans="1:14" x14ac:dyDescent="0.25">
      <c r="H23" t="s">
        <v>39</v>
      </c>
    </row>
    <row r="24" spans="1:14" x14ac:dyDescent="0.25">
      <c r="A24">
        <v>470</v>
      </c>
      <c r="B24">
        <v>45833</v>
      </c>
      <c r="C24" t="s">
        <v>20</v>
      </c>
      <c r="D24" t="s">
        <v>21</v>
      </c>
      <c r="E24" t="s">
        <v>16</v>
      </c>
      <c r="F24">
        <v>20.38</v>
      </c>
      <c r="G24" t="s">
        <v>35</v>
      </c>
      <c r="H24" t="s">
        <v>38</v>
      </c>
      <c r="I24" t="s">
        <v>32</v>
      </c>
      <c r="J24">
        <v>1</v>
      </c>
      <c r="K24">
        <v>50</v>
      </c>
      <c r="L24">
        <v>50</v>
      </c>
      <c r="M24">
        <v>5</v>
      </c>
      <c r="N24">
        <v>45</v>
      </c>
    </row>
    <row r="25" spans="1:14" x14ac:dyDescent="0.25">
      <c r="A25">
        <v>471</v>
      </c>
      <c r="B25">
        <v>45755</v>
      </c>
      <c r="C25" t="s">
        <v>25</v>
      </c>
      <c r="D25" t="s">
        <v>26</v>
      </c>
      <c r="E25" t="s">
        <v>16</v>
      </c>
      <c r="F25">
        <v>27.84</v>
      </c>
      <c r="G25" t="s">
        <v>35</v>
      </c>
      <c r="H25" t="s">
        <v>34</v>
      </c>
      <c r="I25" t="s">
        <v>32</v>
      </c>
      <c r="J25">
        <v>5</v>
      </c>
      <c r="K25">
        <v>50</v>
      </c>
      <c r="L25">
        <v>250</v>
      </c>
      <c r="M25">
        <v>5</v>
      </c>
      <c r="N25">
        <v>245</v>
      </c>
    </row>
    <row r="26" spans="1:14" x14ac:dyDescent="0.25">
      <c r="A26">
        <v>472</v>
      </c>
      <c r="B26">
        <v>45866</v>
      </c>
      <c r="C26" t="s">
        <v>28</v>
      </c>
      <c r="D26" t="s">
        <v>29</v>
      </c>
      <c r="E26" t="s">
        <v>16</v>
      </c>
      <c r="F26">
        <v>38.840000000000003</v>
      </c>
      <c r="G26" t="s">
        <v>33</v>
      </c>
      <c r="H26" t="s">
        <v>27</v>
      </c>
      <c r="I26" t="s">
        <v>32</v>
      </c>
      <c r="J26">
        <v>3</v>
      </c>
      <c r="K26">
        <v>20</v>
      </c>
      <c r="L26">
        <v>60</v>
      </c>
      <c r="M26">
        <v>5.3999999999999995</v>
      </c>
      <c r="N26">
        <v>54.6</v>
      </c>
    </row>
    <row r="27" spans="1:14" x14ac:dyDescent="0.25">
      <c r="A27">
        <v>472</v>
      </c>
      <c r="B27">
        <v>45866</v>
      </c>
      <c r="C27" t="s">
        <v>28</v>
      </c>
      <c r="D27" t="s">
        <v>29</v>
      </c>
      <c r="E27" t="s">
        <v>16</v>
      </c>
      <c r="F27">
        <v>38.909999999999997</v>
      </c>
      <c r="G27" t="s">
        <v>33</v>
      </c>
      <c r="H27" t="s">
        <v>34</v>
      </c>
      <c r="I27" t="s">
        <v>32</v>
      </c>
      <c r="J27">
        <v>3</v>
      </c>
      <c r="K27">
        <v>20</v>
      </c>
      <c r="L27">
        <v>60</v>
      </c>
      <c r="M27">
        <v>4.2</v>
      </c>
      <c r="N27">
        <v>55.8</v>
      </c>
    </row>
    <row r="28" spans="1:14" x14ac:dyDescent="0.25">
      <c r="A28">
        <v>473</v>
      </c>
      <c r="B28">
        <v>45705</v>
      </c>
      <c r="C28" t="s">
        <v>14</v>
      </c>
      <c r="D28" t="s">
        <v>15</v>
      </c>
      <c r="E28" t="s">
        <v>22</v>
      </c>
      <c r="F28">
        <v>60.65</v>
      </c>
      <c r="G28" t="s">
        <v>35</v>
      </c>
      <c r="H28" t="s">
        <v>18</v>
      </c>
      <c r="I28" t="s">
        <v>32</v>
      </c>
      <c r="J28">
        <v>4</v>
      </c>
      <c r="K28">
        <v>50</v>
      </c>
      <c r="L28">
        <v>200</v>
      </c>
      <c r="M28">
        <v>14.000000000000002</v>
      </c>
      <c r="N28">
        <v>186</v>
      </c>
    </row>
    <row r="29" spans="1:14" x14ac:dyDescent="0.25">
      <c r="A29">
        <v>474</v>
      </c>
      <c r="B29">
        <v>45973</v>
      </c>
      <c r="C29" t="s">
        <v>20</v>
      </c>
      <c r="D29" t="s">
        <v>21</v>
      </c>
      <c r="E29" t="s">
        <v>16</v>
      </c>
      <c r="F29">
        <v>50.28</v>
      </c>
      <c r="G29" t="s">
        <v>33</v>
      </c>
      <c r="H29" t="s">
        <v>38</v>
      </c>
      <c r="I29" t="s">
        <v>32</v>
      </c>
      <c r="J29">
        <v>4</v>
      </c>
      <c r="K29">
        <v>20</v>
      </c>
      <c r="L29">
        <v>80</v>
      </c>
      <c r="M29">
        <v>4.8</v>
      </c>
      <c r="N29">
        <v>75.2</v>
      </c>
    </row>
    <row r="30" spans="1:14" x14ac:dyDescent="0.25">
      <c r="A30">
        <v>475</v>
      </c>
      <c r="B30">
        <v>45690</v>
      </c>
      <c r="C30" t="s">
        <v>25</v>
      </c>
      <c r="D30" t="s">
        <v>26</v>
      </c>
      <c r="E30" t="s">
        <v>16</v>
      </c>
      <c r="F30">
        <v>67.489999999999995</v>
      </c>
      <c r="G30" t="s">
        <v>23</v>
      </c>
      <c r="H30" t="s">
        <v>18</v>
      </c>
      <c r="I30" t="s">
        <v>19</v>
      </c>
      <c r="J30">
        <v>1</v>
      </c>
      <c r="K30">
        <v>800</v>
      </c>
      <c r="L30">
        <v>800</v>
      </c>
      <c r="M30">
        <v>0</v>
      </c>
      <c r="N30">
        <v>800</v>
      </c>
    </row>
    <row r="31" spans="1:14" x14ac:dyDescent="0.25">
      <c r="H31" t="s">
        <v>39</v>
      </c>
      <c r="M31">
        <v>0</v>
      </c>
      <c r="N31">
        <v>0</v>
      </c>
    </row>
    <row r="32" spans="1:14" x14ac:dyDescent="0.25">
      <c r="A32">
        <v>477</v>
      </c>
      <c r="B32">
        <v>45942</v>
      </c>
      <c r="C32" t="s">
        <v>28</v>
      </c>
      <c r="D32" t="s">
        <v>29</v>
      </c>
      <c r="E32" t="s">
        <v>16</v>
      </c>
      <c r="F32">
        <v>38.6</v>
      </c>
      <c r="G32" t="s">
        <v>30</v>
      </c>
      <c r="H32" t="s">
        <v>41</v>
      </c>
      <c r="I32" t="s">
        <v>32</v>
      </c>
      <c r="J32">
        <v>1</v>
      </c>
      <c r="K32">
        <v>35</v>
      </c>
      <c r="L32">
        <v>35</v>
      </c>
      <c r="M32">
        <v>4.2</v>
      </c>
      <c r="N32">
        <v>30.8</v>
      </c>
    </row>
    <row r="33" spans="1:14" x14ac:dyDescent="0.25">
      <c r="A33">
        <v>478</v>
      </c>
      <c r="B33">
        <v>45896</v>
      </c>
      <c r="C33" t="s">
        <v>14</v>
      </c>
      <c r="D33" t="s">
        <v>15</v>
      </c>
      <c r="E33" t="s">
        <v>16</v>
      </c>
      <c r="F33">
        <v>68.33</v>
      </c>
      <c r="G33" t="s">
        <v>35</v>
      </c>
      <c r="H33" t="s">
        <v>42</v>
      </c>
      <c r="I33" t="s">
        <v>32</v>
      </c>
      <c r="J33">
        <v>5</v>
      </c>
      <c r="K33">
        <v>50</v>
      </c>
      <c r="L33">
        <v>250</v>
      </c>
      <c r="M33">
        <v>25</v>
      </c>
      <c r="N33">
        <v>225</v>
      </c>
    </row>
    <row r="34" spans="1:14" x14ac:dyDescent="0.25">
      <c r="A34">
        <v>479</v>
      </c>
      <c r="B34">
        <v>45744</v>
      </c>
      <c r="C34" t="s">
        <v>20</v>
      </c>
      <c r="D34" t="s">
        <v>21</v>
      </c>
      <c r="E34" t="s">
        <v>22</v>
      </c>
      <c r="F34">
        <v>33.11</v>
      </c>
      <c r="G34" t="s">
        <v>30</v>
      </c>
      <c r="H34" t="s">
        <v>43</v>
      </c>
      <c r="I34" t="s">
        <v>32</v>
      </c>
      <c r="J34">
        <v>4</v>
      </c>
      <c r="K34">
        <v>35</v>
      </c>
      <c r="L34">
        <v>140</v>
      </c>
      <c r="M34">
        <v>11.200000000000001</v>
      </c>
      <c r="N34">
        <v>128.80000000000001</v>
      </c>
    </row>
    <row r="35" spans="1:14" x14ac:dyDescent="0.25">
      <c r="A35">
        <v>480</v>
      </c>
      <c r="B35">
        <v>45678</v>
      </c>
      <c r="C35" t="s">
        <v>25</v>
      </c>
      <c r="D35" t="s">
        <v>26</v>
      </c>
      <c r="E35" t="s">
        <v>16</v>
      </c>
      <c r="F35">
        <v>25.04</v>
      </c>
      <c r="G35" t="s">
        <v>35</v>
      </c>
      <c r="H35" t="s">
        <v>44</v>
      </c>
      <c r="I35" t="s">
        <v>32</v>
      </c>
      <c r="J35">
        <v>3</v>
      </c>
      <c r="K35">
        <v>50</v>
      </c>
      <c r="L35">
        <v>150</v>
      </c>
      <c r="M35">
        <v>13.5</v>
      </c>
      <c r="N35">
        <v>136.5</v>
      </c>
    </row>
    <row r="36" spans="1:14" x14ac:dyDescent="0.25">
      <c r="A36">
        <v>481</v>
      </c>
      <c r="B36">
        <v>45736</v>
      </c>
      <c r="C36" t="s">
        <v>28</v>
      </c>
      <c r="D36" t="s">
        <v>29</v>
      </c>
      <c r="E36" t="s">
        <v>16</v>
      </c>
      <c r="F36">
        <v>37.01</v>
      </c>
      <c r="G36" t="s">
        <v>35</v>
      </c>
      <c r="H36" t="s">
        <v>27</v>
      </c>
      <c r="I36" t="s">
        <v>32</v>
      </c>
      <c r="J36">
        <v>4</v>
      </c>
      <c r="K36">
        <v>50</v>
      </c>
      <c r="L36">
        <v>200</v>
      </c>
      <c r="M36">
        <v>20</v>
      </c>
      <c r="N36">
        <v>180</v>
      </c>
    </row>
    <row r="37" spans="1:14" x14ac:dyDescent="0.25">
      <c r="A37">
        <v>482</v>
      </c>
      <c r="B37">
        <v>45816</v>
      </c>
      <c r="C37" t="s">
        <v>14</v>
      </c>
      <c r="D37" t="s">
        <v>15</v>
      </c>
      <c r="E37" t="s">
        <v>16</v>
      </c>
      <c r="F37">
        <v>41.17</v>
      </c>
      <c r="G37" t="s">
        <v>23</v>
      </c>
      <c r="H37" t="s">
        <v>18</v>
      </c>
      <c r="I37" t="s">
        <v>19</v>
      </c>
      <c r="J37">
        <v>1</v>
      </c>
      <c r="K37">
        <v>800</v>
      </c>
      <c r="L37">
        <v>800</v>
      </c>
      <c r="M37">
        <v>0</v>
      </c>
      <c r="N37">
        <v>800</v>
      </c>
    </row>
    <row r="38" spans="1:14" x14ac:dyDescent="0.25">
      <c r="A38">
        <v>483</v>
      </c>
      <c r="B38">
        <v>45894</v>
      </c>
      <c r="C38" t="s">
        <v>20</v>
      </c>
      <c r="D38" t="s">
        <v>21</v>
      </c>
      <c r="E38" t="s">
        <v>16</v>
      </c>
      <c r="F38">
        <v>50.56</v>
      </c>
      <c r="G38" t="s">
        <v>17</v>
      </c>
      <c r="H38" t="s">
        <v>38</v>
      </c>
      <c r="I38" t="s">
        <v>19</v>
      </c>
      <c r="J38">
        <v>4</v>
      </c>
      <c r="K38">
        <v>200</v>
      </c>
      <c r="L38">
        <v>800</v>
      </c>
      <c r="M38">
        <v>64</v>
      </c>
      <c r="N38">
        <v>736</v>
      </c>
    </row>
    <row r="39" spans="1:14" x14ac:dyDescent="0.25">
      <c r="A39">
        <v>484</v>
      </c>
      <c r="B39">
        <v>45837</v>
      </c>
      <c r="C39" t="s">
        <v>25</v>
      </c>
      <c r="D39" t="s">
        <v>26</v>
      </c>
      <c r="E39" t="s">
        <v>16</v>
      </c>
      <c r="F39">
        <v>46.06</v>
      </c>
      <c r="G39" t="s">
        <v>33</v>
      </c>
      <c r="H39" t="s">
        <v>18</v>
      </c>
      <c r="I39" t="s">
        <v>32</v>
      </c>
      <c r="J39">
        <v>3</v>
      </c>
      <c r="K39">
        <v>20</v>
      </c>
      <c r="L39">
        <v>60</v>
      </c>
      <c r="M39">
        <v>7.1999999999999993</v>
      </c>
      <c r="N39">
        <v>52.8</v>
      </c>
    </row>
    <row r="40" spans="1:14" x14ac:dyDescent="0.25">
      <c r="H40" t="s">
        <v>39</v>
      </c>
      <c r="M40">
        <v>0</v>
      </c>
      <c r="N40">
        <v>0</v>
      </c>
    </row>
    <row r="41" spans="1:14" x14ac:dyDescent="0.25">
      <c r="H41" t="s">
        <v>39</v>
      </c>
      <c r="M41">
        <v>0</v>
      </c>
      <c r="N41">
        <v>0</v>
      </c>
    </row>
    <row r="42" spans="1:14" x14ac:dyDescent="0.25">
      <c r="A42">
        <v>487</v>
      </c>
      <c r="B42">
        <v>45826</v>
      </c>
      <c r="C42" t="s">
        <v>28</v>
      </c>
      <c r="D42" t="s">
        <v>29</v>
      </c>
      <c r="E42" t="s">
        <v>16</v>
      </c>
      <c r="F42">
        <v>51.63</v>
      </c>
      <c r="G42" t="s">
        <v>35</v>
      </c>
      <c r="H42" t="s">
        <v>34</v>
      </c>
      <c r="I42" t="s">
        <v>32</v>
      </c>
      <c r="J42">
        <v>3</v>
      </c>
      <c r="K42">
        <v>50</v>
      </c>
      <c r="L42">
        <v>150</v>
      </c>
      <c r="M42">
        <v>4.5</v>
      </c>
      <c r="N42">
        <v>145.5</v>
      </c>
    </row>
    <row r="43" spans="1:14" x14ac:dyDescent="0.25">
      <c r="A43">
        <v>488</v>
      </c>
      <c r="B43">
        <v>45969</v>
      </c>
      <c r="C43" t="s">
        <v>14</v>
      </c>
      <c r="D43" t="s">
        <v>15</v>
      </c>
      <c r="E43" t="s">
        <v>16</v>
      </c>
      <c r="F43">
        <v>64.91</v>
      </c>
      <c r="G43" t="s">
        <v>17</v>
      </c>
      <c r="H43" t="s">
        <v>45</v>
      </c>
      <c r="I43" t="s">
        <v>19</v>
      </c>
      <c r="J43">
        <v>5</v>
      </c>
      <c r="K43">
        <v>200</v>
      </c>
      <c r="L43">
        <v>1000</v>
      </c>
      <c r="M43">
        <v>70</v>
      </c>
      <c r="N43">
        <v>930</v>
      </c>
    </row>
    <row r="44" spans="1:14" x14ac:dyDescent="0.25">
      <c r="A44">
        <v>489</v>
      </c>
      <c r="B44">
        <v>45858</v>
      </c>
      <c r="C44" t="s">
        <v>20</v>
      </c>
      <c r="D44" t="s">
        <v>21</v>
      </c>
      <c r="E44" t="s">
        <v>16</v>
      </c>
      <c r="F44">
        <v>68.84</v>
      </c>
      <c r="G44" t="s">
        <v>17</v>
      </c>
      <c r="H44" t="s">
        <v>43</v>
      </c>
      <c r="I44" t="s">
        <v>19</v>
      </c>
      <c r="J44">
        <v>4</v>
      </c>
      <c r="K44">
        <v>200</v>
      </c>
      <c r="L44">
        <v>800</v>
      </c>
      <c r="M44">
        <v>24</v>
      </c>
      <c r="N44">
        <v>776</v>
      </c>
    </row>
    <row r="45" spans="1:14" x14ac:dyDescent="0.25">
      <c r="A45">
        <v>490</v>
      </c>
      <c r="B45">
        <v>45696</v>
      </c>
      <c r="C45" t="s">
        <v>25</v>
      </c>
      <c r="D45" t="s">
        <v>26</v>
      </c>
      <c r="E45" t="s">
        <v>16</v>
      </c>
      <c r="F45">
        <v>52.48</v>
      </c>
      <c r="G45" t="s">
        <v>23</v>
      </c>
      <c r="H45" t="s">
        <v>34</v>
      </c>
      <c r="I45" t="s">
        <v>19</v>
      </c>
      <c r="J45">
        <v>1</v>
      </c>
      <c r="K45">
        <v>800</v>
      </c>
      <c r="L45">
        <v>800</v>
      </c>
      <c r="M45">
        <v>416</v>
      </c>
      <c r="N45">
        <v>384</v>
      </c>
    </row>
    <row r="46" spans="1:14" x14ac:dyDescent="0.25">
      <c r="A46">
        <v>490</v>
      </c>
      <c r="B46">
        <v>45696</v>
      </c>
      <c r="C46" t="s">
        <v>25</v>
      </c>
      <c r="D46" t="s">
        <v>26</v>
      </c>
      <c r="E46" t="s">
        <v>16</v>
      </c>
      <c r="F46">
        <v>52.31</v>
      </c>
      <c r="G46" t="s">
        <v>23</v>
      </c>
      <c r="H46" t="s">
        <v>27</v>
      </c>
      <c r="I46" t="s">
        <v>19</v>
      </c>
      <c r="J46">
        <v>1</v>
      </c>
      <c r="K46">
        <v>800</v>
      </c>
      <c r="L46">
        <v>800</v>
      </c>
      <c r="M46">
        <v>384</v>
      </c>
      <c r="N46">
        <v>416</v>
      </c>
    </row>
    <row r="47" spans="1:14" x14ac:dyDescent="0.25">
      <c r="A47">
        <v>491</v>
      </c>
      <c r="B47">
        <v>45934</v>
      </c>
      <c r="C47" t="s">
        <v>28</v>
      </c>
      <c r="D47" t="s">
        <v>29</v>
      </c>
      <c r="E47" t="s">
        <v>16</v>
      </c>
      <c r="F47">
        <v>65.430000000000007</v>
      </c>
      <c r="G47" t="s">
        <v>17</v>
      </c>
      <c r="H47" t="s">
        <v>18</v>
      </c>
      <c r="I47" t="s">
        <v>19</v>
      </c>
      <c r="J47">
        <v>3</v>
      </c>
      <c r="K47">
        <v>200</v>
      </c>
      <c r="L47">
        <v>600</v>
      </c>
      <c r="M47">
        <v>90</v>
      </c>
      <c r="N47">
        <v>510</v>
      </c>
    </row>
    <row r="48" spans="1:14" x14ac:dyDescent="0.25">
      <c r="A48">
        <v>492</v>
      </c>
      <c r="B48">
        <v>45742</v>
      </c>
      <c r="C48" t="s">
        <v>14</v>
      </c>
      <c r="D48" t="s">
        <v>15</v>
      </c>
      <c r="E48" t="s">
        <v>16</v>
      </c>
      <c r="F48">
        <v>31.77</v>
      </c>
      <c r="G48" t="s">
        <v>30</v>
      </c>
      <c r="H48" t="s">
        <v>43</v>
      </c>
      <c r="I48" t="s">
        <v>32</v>
      </c>
      <c r="J48">
        <v>2</v>
      </c>
      <c r="K48">
        <v>35</v>
      </c>
      <c r="L48">
        <v>70</v>
      </c>
      <c r="M48">
        <v>9.8000000000000007</v>
      </c>
      <c r="N48">
        <v>60.2</v>
      </c>
    </row>
    <row r="49" spans="1:14" x14ac:dyDescent="0.25">
      <c r="A49">
        <v>493</v>
      </c>
      <c r="B49">
        <v>45739</v>
      </c>
      <c r="C49" t="s">
        <v>20</v>
      </c>
      <c r="D49" t="s">
        <v>21</v>
      </c>
      <c r="E49" t="s">
        <v>16</v>
      </c>
      <c r="F49">
        <v>57.15</v>
      </c>
      <c r="G49" t="s">
        <v>33</v>
      </c>
      <c r="H49" t="s">
        <v>43</v>
      </c>
      <c r="I49" t="s">
        <v>32</v>
      </c>
      <c r="J49">
        <v>5</v>
      </c>
      <c r="K49">
        <v>20</v>
      </c>
      <c r="L49">
        <v>100</v>
      </c>
      <c r="M49">
        <v>2</v>
      </c>
      <c r="N49">
        <v>98</v>
      </c>
    </row>
    <row r="50" spans="1:14" x14ac:dyDescent="0.25">
      <c r="A50">
        <v>494</v>
      </c>
      <c r="B50">
        <v>45687</v>
      </c>
      <c r="C50" t="s">
        <v>25</v>
      </c>
      <c r="D50" t="s">
        <v>26</v>
      </c>
      <c r="E50" t="s">
        <v>16</v>
      </c>
      <c r="F50">
        <v>41.15</v>
      </c>
      <c r="G50" t="s">
        <v>35</v>
      </c>
      <c r="H50" t="s">
        <v>46</v>
      </c>
      <c r="I50" t="s">
        <v>32</v>
      </c>
      <c r="J50">
        <v>3</v>
      </c>
      <c r="K50">
        <v>50</v>
      </c>
      <c r="L50">
        <v>150</v>
      </c>
      <c r="M50">
        <v>7.5</v>
      </c>
      <c r="N50">
        <v>142.5</v>
      </c>
    </row>
    <row r="51" spans="1:14" x14ac:dyDescent="0.25">
      <c r="A51">
        <v>495</v>
      </c>
      <c r="B51">
        <v>45794</v>
      </c>
      <c r="C51" t="s">
        <v>28</v>
      </c>
      <c r="D51" t="s">
        <v>29</v>
      </c>
      <c r="E51" t="s">
        <v>22</v>
      </c>
      <c r="F51">
        <v>48.74</v>
      </c>
      <c r="G51" t="s">
        <v>35</v>
      </c>
      <c r="H51" t="s">
        <v>18</v>
      </c>
      <c r="I51" t="s">
        <v>32</v>
      </c>
      <c r="J51">
        <v>3</v>
      </c>
      <c r="K51">
        <v>50</v>
      </c>
      <c r="L51">
        <v>150</v>
      </c>
      <c r="M51">
        <v>1.5</v>
      </c>
      <c r="N51">
        <v>148.5</v>
      </c>
    </row>
    <row r="52" spans="1:14" x14ac:dyDescent="0.25">
      <c r="A52">
        <v>496</v>
      </c>
      <c r="B52">
        <v>45746</v>
      </c>
      <c r="C52" t="s">
        <v>14</v>
      </c>
      <c r="D52" t="s">
        <v>15</v>
      </c>
      <c r="E52" t="s">
        <v>16</v>
      </c>
      <c r="F52">
        <v>29.52</v>
      </c>
      <c r="G52" t="s">
        <v>33</v>
      </c>
      <c r="H52" t="s">
        <v>27</v>
      </c>
      <c r="I52" t="s">
        <v>32</v>
      </c>
      <c r="J52">
        <v>2</v>
      </c>
      <c r="K52">
        <v>20</v>
      </c>
      <c r="L52">
        <v>40</v>
      </c>
      <c r="M52">
        <v>4.8</v>
      </c>
      <c r="N52">
        <v>35.200000000000003</v>
      </c>
    </row>
    <row r="53" spans="1:14" x14ac:dyDescent="0.25">
      <c r="A53">
        <v>497</v>
      </c>
      <c r="B53">
        <v>45740</v>
      </c>
      <c r="C53" t="s">
        <v>20</v>
      </c>
      <c r="D53" t="s">
        <v>21</v>
      </c>
      <c r="E53" t="s">
        <v>16</v>
      </c>
      <c r="F53">
        <v>67.3</v>
      </c>
      <c r="G53" t="s">
        <v>17</v>
      </c>
      <c r="H53" t="s">
        <v>47</v>
      </c>
      <c r="I53" t="s">
        <v>19</v>
      </c>
      <c r="J53">
        <v>2</v>
      </c>
      <c r="K53">
        <v>200</v>
      </c>
      <c r="L53">
        <v>400</v>
      </c>
      <c r="M53">
        <v>12</v>
      </c>
      <c r="N53">
        <v>388</v>
      </c>
    </row>
    <row r="54" spans="1:14" x14ac:dyDescent="0.25">
      <c r="A54">
        <v>498</v>
      </c>
      <c r="B54">
        <v>45686</v>
      </c>
      <c r="C54" t="s">
        <v>25</v>
      </c>
      <c r="D54" t="s">
        <v>26</v>
      </c>
      <c r="E54" t="s">
        <v>16</v>
      </c>
      <c r="F54">
        <v>70.7</v>
      </c>
      <c r="G54" t="s">
        <v>33</v>
      </c>
      <c r="H54" t="s">
        <v>42</v>
      </c>
      <c r="I54" t="s">
        <v>32</v>
      </c>
      <c r="J54">
        <v>1</v>
      </c>
      <c r="K54">
        <v>20</v>
      </c>
      <c r="L54">
        <v>20</v>
      </c>
      <c r="M54">
        <v>1</v>
      </c>
      <c r="N54">
        <v>19</v>
      </c>
    </row>
    <row r="55" spans="1:14" x14ac:dyDescent="0.25">
      <c r="A55">
        <v>499</v>
      </c>
      <c r="B55">
        <v>45936</v>
      </c>
      <c r="C55" t="s">
        <v>28</v>
      </c>
      <c r="D55" t="s">
        <v>29</v>
      </c>
      <c r="E55" t="s">
        <v>16</v>
      </c>
      <c r="F55">
        <v>44.39</v>
      </c>
      <c r="G55" t="s">
        <v>33</v>
      </c>
      <c r="H55" t="s">
        <v>34</v>
      </c>
      <c r="I55" t="s">
        <v>32</v>
      </c>
      <c r="J55">
        <v>1</v>
      </c>
      <c r="K55">
        <v>20</v>
      </c>
      <c r="L55">
        <v>20</v>
      </c>
      <c r="M55">
        <v>0.8</v>
      </c>
      <c r="N55">
        <v>19.2</v>
      </c>
    </row>
    <row r="56" spans="1:14" x14ac:dyDescent="0.25">
      <c r="A56">
        <v>500</v>
      </c>
      <c r="B56">
        <v>45859</v>
      </c>
      <c r="C56" t="s">
        <v>14</v>
      </c>
      <c r="D56" t="s">
        <v>15</v>
      </c>
      <c r="E56" t="s">
        <v>22</v>
      </c>
      <c r="F56">
        <v>33.799999999999997</v>
      </c>
      <c r="G56" t="s">
        <v>30</v>
      </c>
      <c r="H56" t="s">
        <v>43</v>
      </c>
      <c r="I56" t="s">
        <v>32</v>
      </c>
      <c r="J56">
        <v>3</v>
      </c>
      <c r="K56">
        <v>35</v>
      </c>
      <c r="L56">
        <v>105</v>
      </c>
      <c r="M56">
        <v>9.4499999999999993</v>
      </c>
      <c r="N56">
        <v>95.55</v>
      </c>
    </row>
    <row r="57" spans="1:14" x14ac:dyDescent="0.25">
      <c r="A57">
        <v>501</v>
      </c>
      <c r="B57">
        <v>45755</v>
      </c>
      <c r="C57" t="s">
        <v>20</v>
      </c>
      <c r="D57" t="s">
        <v>21</v>
      </c>
      <c r="E57" t="s">
        <v>16</v>
      </c>
      <c r="F57">
        <v>30.06</v>
      </c>
      <c r="G57" t="s">
        <v>30</v>
      </c>
      <c r="H57" t="s">
        <v>27</v>
      </c>
      <c r="I57" t="s">
        <v>32</v>
      </c>
      <c r="J57">
        <v>1</v>
      </c>
      <c r="K57">
        <v>35</v>
      </c>
      <c r="L57">
        <v>35</v>
      </c>
      <c r="M57">
        <v>2.8000000000000003</v>
      </c>
      <c r="N57">
        <v>32.200000000000003</v>
      </c>
    </row>
    <row r="58" spans="1:14" x14ac:dyDescent="0.25">
      <c r="A58">
        <v>502</v>
      </c>
      <c r="B58">
        <v>45884</v>
      </c>
      <c r="C58" t="s">
        <v>25</v>
      </c>
      <c r="D58" t="s">
        <v>26</v>
      </c>
      <c r="E58" t="s">
        <v>16</v>
      </c>
      <c r="F58">
        <v>60.25</v>
      </c>
      <c r="G58" t="s">
        <v>33</v>
      </c>
      <c r="H58" t="s">
        <v>18</v>
      </c>
      <c r="I58" t="s">
        <v>32</v>
      </c>
      <c r="J58">
        <v>4</v>
      </c>
      <c r="K58">
        <v>20</v>
      </c>
      <c r="L58">
        <v>80</v>
      </c>
      <c r="M58">
        <v>10.4</v>
      </c>
      <c r="N58">
        <v>69.599999999999994</v>
      </c>
    </row>
    <row r="59" spans="1:14" x14ac:dyDescent="0.25">
      <c r="A59">
        <v>503</v>
      </c>
      <c r="B59">
        <v>45770</v>
      </c>
      <c r="C59" t="s">
        <v>28</v>
      </c>
      <c r="D59" t="s">
        <v>29</v>
      </c>
      <c r="E59" t="s">
        <v>16</v>
      </c>
      <c r="F59">
        <v>55.96</v>
      </c>
      <c r="G59" t="s">
        <v>17</v>
      </c>
      <c r="H59" t="s">
        <v>38</v>
      </c>
      <c r="I59" t="s">
        <v>19</v>
      </c>
      <c r="J59">
        <v>1</v>
      </c>
      <c r="K59">
        <v>200</v>
      </c>
      <c r="L59">
        <v>200</v>
      </c>
      <c r="M59">
        <v>4</v>
      </c>
      <c r="N59">
        <v>196</v>
      </c>
    </row>
    <row r="60" spans="1:14" x14ac:dyDescent="0.25">
      <c r="A60">
        <v>504</v>
      </c>
      <c r="B60">
        <v>45903</v>
      </c>
      <c r="C60" t="s">
        <v>14</v>
      </c>
      <c r="D60" t="s">
        <v>15</v>
      </c>
      <c r="E60" t="s">
        <v>16</v>
      </c>
      <c r="F60">
        <v>42.24</v>
      </c>
      <c r="G60" t="s">
        <v>17</v>
      </c>
      <c r="H60" t="s">
        <v>27</v>
      </c>
      <c r="I60" t="s">
        <v>19</v>
      </c>
      <c r="J60">
        <v>4</v>
      </c>
      <c r="K60">
        <v>200</v>
      </c>
      <c r="L60">
        <v>800</v>
      </c>
      <c r="M60">
        <v>16</v>
      </c>
      <c r="N60">
        <v>784</v>
      </c>
    </row>
    <row r="61" spans="1:14" x14ac:dyDescent="0.25">
      <c r="A61">
        <v>505</v>
      </c>
      <c r="B61">
        <v>45815</v>
      </c>
      <c r="C61" t="s">
        <v>20</v>
      </c>
      <c r="D61" t="s">
        <v>21</v>
      </c>
      <c r="E61" t="s">
        <v>16</v>
      </c>
      <c r="F61">
        <v>28.94</v>
      </c>
      <c r="G61" t="s">
        <v>23</v>
      </c>
      <c r="H61" t="s">
        <v>27</v>
      </c>
      <c r="I61" t="s">
        <v>19</v>
      </c>
      <c r="J61">
        <v>1</v>
      </c>
      <c r="K61">
        <v>800</v>
      </c>
      <c r="L61">
        <v>800</v>
      </c>
      <c r="M61">
        <v>176</v>
      </c>
      <c r="N61">
        <v>624</v>
      </c>
    </row>
    <row r="62" spans="1:14" x14ac:dyDescent="0.25">
      <c r="A62">
        <v>506</v>
      </c>
      <c r="B62">
        <v>45914</v>
      </c>
      <c r="C62" t="s">
        <v>25</v>
      </c>
      <c r="D62" t="s">
        <v>26</v>
      </c>
      <c r="E62" t="s">
        <v>16</v>
      </c>
      <c r="F62">
        <v>52.44</v>
      </c>
      <c r="G62" t="s">
        <v>30</v>
      </c>
      <c r="H62" t="s">
        <v>43</v>
      </c>
      <c r="I62" t="s">
        <v>32</v>
      </c>
      <c r="J62">
        <v>2</v>
      </c>
      <c r="K62">
        <v>35</v>
      </c>
      <c r="L62">
        <v>70</v>
      </c>
      <c r="M62">
        <v>3.5</v>
      </c>
      <c r="N62">
        <v>66.5</v>
      </c>
    </row>
    <row r="63" spans="1:14" x14ac:dyDescent="0.25">
      <c r="A63">
        <v>507</v>
      </c>
      <c r="B63">
        <v>45734</v>
      </c>
      <c r="C63" t="s">
        <v>28</v>
      </c>
      <c r="D63" t="s">
        <v>29</v>
      </c>
      <c r="E63" t="s">
        <v>16</v>
      </c>
      <c r="F63">
        <v>47.13</v>
      </c>
      <c r="G63" t="s">
        <v>35</v>
      </c>
      <c r="H63" t="s">
        <v>45</v>
      </c>
      <c r="I63" t="s">
        <v>32</v>
      </c>
      <c r="J63">
        <v>4</v>
      </c>
      <c r="K63">
        <v>50</v>
      </c>
      <c r="L63">
        <v>200</v>
      </c>
      <c r="M63">
        <v>28.000000000000004</v>
      </c>
      <c r="N63">
        <v>172</v>
      </c>
    </row>
    <row r="64" spans="1:14" x14ac:dyDescent="0.25">
      <c r="A64">
        <v>508</v>
      </c>
      <c r="B64">
        <v>45749</v>
      </c>
      <c r="C64" t="s">
        <v>14</v>
      </c>
      <c r="D64" t="s">
        <v>15</v>
      </c>
      <c r="E64" t="s">
        <v>16</v>
      </c>
      <c r="F64">
        <v>67.58</v>
      </c>
      <c r="G64" t="s">
        <v>30</v>
      </c>
      <c r="H64" t="s">
        <v>46</v>
      </c>
      <c r="I64" t="s">
        <v>32</v>
      </c>
      <c r="J64">
        <v>1</v>
      </c>
      <c r="K64">
        <v>35</v>
      </c>
      <c r="L64">
        <v>35</v>
      </c>
      <c r="M64">
        <v>0.35000000000000003</v>
      </c>
      <c r="N64">
        <v>34.65</v>
      </c>
    </row>
    <row r="65" spans="1:14" x14ac:dyDescent="0.25">
      <c r="A65">
        <v>509</v>
      </c>
      <c r="B65">
        <v>45871</v>
      </c>
      <c r="C65" t="s">
        <v>20</v>
      </c>
      <c r="D65" t="s">
        <v>21</v>
      </c>
      <c r="E65" t="s">
        <v>16</v>
      </c>
      <c r="F65">
        <v>65.19</v>
      </c>
      <c r="G65" t="s">
        <v>23</v>
      </c>
      <c r="H65" t="s">
        <v>46</v>
      </c>
      <c r="I65" t="s">
        <v>19</v>
      </c>
      <c r="J65">
        <v>1</v>
      </c>
      <c r="K65">
        <v>800</v>
      </c>
      <c r="L65">
        <v>800</v>
      </c>
      <c r="M65">
        <v>224.00000000000003</v>
      </c>
      <c r="N65">
        <v>576</v>
      </c>
    </row>
    <row r="66" spans="1:14" x14ac:dyDescent="0.25">
      <c r="A66">
        <v>510</v>
      </c>
      <c r="B66">
        <v>45844</v>
      </c>
      <c r="C66" t="s">
        <v>25</v>
      </c>
      <c r="D66" t="s">
        <v>26</v>
      </c>
      <c r="E66" t="s">
        <v>16</v>
      </c>
      <c r="F66">
        <v>29.42</v>
      </c>
      <c r="G66" t="s">
        <v>30</v>
      </c>
      <c r="H66" t="s">
        <v>47</v>
      </c>
      <c r="I66" t="s">
        <v>32</v>
      </c>
      <c r="J66">
        <v>3</v>
      </c>
      <c r="K66">
        <v>35</v>
      </c>
      <c r="L66">
        <v>105</v>
      </c>
      <c r="M66">
        <v>13.65</v>
      </c>
      <c r="N66">
        <v>91.35</v>
      </c>
    </row>
    <row r="67" spans="1:14" x14ac:dyDescent="0.25">
      <c r="A67">
        <v>511</v>
      </c>
      <c r="B67">
        <v>45868</v>
      </c>
      <c r="C67" t="s">
        <v>28</v>
      </c>
      <c r="D67" t="s">
        <v>29</v>
      </c>
      <c r="E67" t="s">
        <v>16</v>
      </c>
      <c r="F67">
        <v>34.18</v>
      </c>
      <c r="G67" t="s">
        <v>35</v>
      </c>
      <c r="H67" t="s">
        <v>46</v>
      </c>
      <c r="I67" t="s">
        <v>32</v>
      </c>
      <c r="J67">
        <v>4</v>
      </c>
      <c r="K67">
        <v>50</v>
      </c>
      <c r="L67">
        <v>200</v>
      </c>
      <c r="M67">
        <v>2</v>
      </c>
      <c r="N67">
        <v>198</v>
      </c>
    </row>
    <row r="68" spans="1:14" x14ac:dyDescent="0.25">
      <c r="A68">
        <v>512</v>
      </c>
      <c r="B68">
        <v>45791</v>
      </c>
      <c r="C68" t="s">
        <v>14</v>
      </c>
      <c r="D68" t="s">
        <v>15</v>
      </c>
      <c r="E68" t="s">
        <v>16</v>
      </c>
      <c r="F68">
        <v>67.88</v>
      </c>
      <c r="G68" t="s">
        <v>35</v>
      </c>
      <c r="H68" t="s">
        <v>46</v>
      </c>
      <c r="I68" t="s">
        <v>32</v>
      </c>
      <c r="J68">
        <v>5</v>
      </c>
      <c r="K68">
        <v>50</v>
      </c>
      <c r="L68">
        <v>250</v>
      </c>
      <c r="M68">
        <v>12.5</v>
      </c>
      <c r="N68">
        <v>237.5</v>
      </c>
    </row>
    <row r="69" spans="1:14" x14ac:dyDescent="0.25">
      <c r="A69">
        <v>512</v>
      </c>
      <c r="B69">
        <v>45791</v>
      </c>
      <c r="C69" t="s">
        <v>14</v>
      </c>
      <c r="D69" t="s">
        <v>15</v>
      </c>
      <c r="E69" t="s">
        <v>16</v>
      </c>
      <c r="F69">
        <v>67.08</v>
      </c>
      <c r="G69" t="s">
        <v>35</v>
      </c>
      <c r="H69" t="s">
        <v>46</v>
      </c>
      <c r="I69" t="s">
        <v>32</v>
      </c>
      <c r="J69">
        <v>5</v>
      </c>
      <c r="K69">
        <v>50</v>
      </c>
      <c r="L69">
        <v>250</v>
      </c>
      <c r="M69">
        <v>10</v>
      </c>
      <c r="N69">
        <v>240</v>
      </c>
    </row>
    <row r="70" spans="1:14" x14ac:dyDescent="0.25">
      <c r="A70">
        <v>513</v>
      </c>
      <c r="B70">
        <v>45757</v>
      </c>
      <c r="C70" t="s">
        <v>20</v>
      </c>
      <c r="D70" t="s">
        <v>21</v>
      </c>
      <c r="E70" t="s">
        <v>16</v>
      </c>
      <c r="F70">
        <v>70.8</v>
      </c>
      <c r="G70" t="s">
        <v>30</v>
      </c>
      <c r="H70" t="s">
        <v>34</v>
      </c>
      <c r="I70" t="s">
        <v>32</v>
      </c>
      <c r="J70">
        <v>1</v>
      </c>
      <c r="K70">
        <v>35</v>
      </c>
      <c r="L70">
        <v>35</v>
      </c>
      <c r="M70">
        <v>4.2</v>
      </c>
      <c r="N70">
        <v>30.8</v>
      </c>
    </row>
    <row r="71" spans="1:14" x14ac:dyDescent="0.25">
      <c r="A71">
        <v>514</v>
      </c>
      <c r="B71">
        <v>45713</v>
      </c>
      <c r="C71" t="s">
        <v>25</v>
      </c>
      <c r="D71" t="s">
        <v>26</v>
      </c>
      <c r="E71" t="s">
        <v>22</v>
      </c>
      <c r="F71">
        <v>54.91</v>
      </c>
      <c r="G71" t="s">
        <v>17</v>
      </c>
      <c r="H71" t="s">
        <v>38</v>
      </c>
      <c r="I71" t="s">
        <v>19</v>
      </c>
      <c r="J71">
        <v>1</v>
      </c>
      <c r="K71">
        <v>200</v>
      </c>
      <c r="L71">
        <v>200</v>
      </c>
      <c r="M71">
        <v>10</v>
      </c>
      <c r="N71">
        <v>190</v>
      </c>
    </row>
    <row r="72" spans="1:14" x14ac:dyDescent="0.25">
      <c r="A72">
        <v>515</v>
      </c>
      <c r="B72">
        <v>45967</v>
      </c>
      <c r="C72" t="s">
        <v>28</v>
      </c>
      <c r="D72" t="s">
        <v>29</v>
      </c>
      <c r="E72" t="s">
        <v>16</v>
      </c>
      <c r="F72">
        <v>25.75</v>
      </c>
      <c r="G72" t="s">
        <v>30</v>
      </c>
      <c r="H72" t="s">
        <v>45</v>
      </c>
      <c r="I72" t="s">
        <v>32</v>
      </c>
      <c r="J72">
        <v>1</v>
      </c>
      <c r="K72">
        <v>35</v>
      </c>
      <c r="L72">
        <v>35</v>
      </c>
      <c r="M72">
        <v>1.05</v>
      </c>
      <c r="N72">
        <v>33.950000000000003</v>
      </c>
    </row>
    <row r="73" spans="1:14" x14ac:dyDescent="0.25">
      <c r="A73">
        <v>516</v>
      </c>
      <c r="B73">
        <v>45877</v>
      </c>
      <c r="C73" t="s">
        <v>14</v>
      </c>
      <c r="D73" t="s">
        <v>15</v>
      </c>
      <c r="E73" t="s">
        <v>16</v>
      </c>
      <c r="F73">
        <v>35.93</v>
      </c>
      <c r="G73" t="s">
        <v>30</v>
      </c>
      <c r="H73" t="s">
        <v>43</v>
      </c>
      <c r="I73" t="s">
        <v>32</v>
      </c>
      <c r="J73">
        <v>2</v>
      </c>
      <c r="K73">
        <v>35</v>
      </c>
      <c r="L73">
        <v>70</v>
      </c>
      <c r="M73">
        <v>7.7</v>
      </c>
      <c r="N73">
        <v>62.3</v>
      </c>
    </row>
    <row r="74" spans="1:14" x14ac:dyDescent="0.25">
      <c r="A74">
        <v>517</v>
      </c>
      <c r="B74">
        <v>45716</v>
      </c>
      <c r="C74" t="s">
        <v>20</v>
      </c>
      <c r="D74" t="s">
        <v>21</v>
      </c>
      <c r="E74" t="s">
        <v>16</v>
      </c>
      <c r="F74">
        <v>40.369999999999997</v>
      </c>
      <c r="G74" t="s">
        <v>35</v>
      </c>
      <c r="H74" t="s">
        <v>43</v>
      </c>
      <c r="I74" t="s">
        <v>32</v>
      </c>
      <c r="J74">
        <v>2</v>
      </c>
      <c r="K74">
        <v>50</v>
      </c>
      <c r="L74">
        <v>100</v>
      </c>
      <c r="M74">
        <v>9</v>
      </c>
      <c r="N74">
        <v>91</v>
      </c>
    </row>
    <row r="75" spans="1:14" x14ac:dyDescent="0.25">
      <c r="A75">
        <v>518</v>
      </c>
      <c r="B75">
        <v>45833</v>
      </c>
      <c r="C75" t="s">
        <v>25</v>
      </c>
      <c r="D75" t="s">
        <v>26</v>
      </c>
      <c r="E75" t="s">
        <v>16</v>
      </c>
      <c r="F75">
        <v>28.59</v>
      </c>
      <c r="G75" t="s">
        <v>33</v>
      </c>
      <c r="H75" t="s">
        <v>18</v>
      </c>
      <c r="I75" t="s">
        <v>32</v>
      </c>
      <c r="J75">
        <v>2</v>
      </c>
      <c r="K75">
        <v>20</v>
      </c>
      <c r="L75">
        <v>40</v>
      </c>
      <c r="M75">
        <v>2.4</v>
      </c>
      <c r="N75">
        <v>37.6</v>
      </c>
    </row>
    <row r="76" spans="1:14" x14ac:dyDescent="0.25">
      <c r="A76">
        <v>519</v>
      </c>
      <c r="B76">
        <v>45940</v>
      </c>
      <c r="C76" t="s">
        <v>28</v>
      </c>
      <c r="D76" t="s">
        <v>29</v>
      </c>
      <c r="E76" t="s">
        <v>22</v>
      </c>
      <c r="F76">
        <v>47.46</v>
      </c>
      <c r="G76" t="s">
        <v>17</v>
      </c>
      <c r="H76" t="s">
        <v>34</v>
      </c>
      <c r="I76" t="s">
        <v>19</v>
      </c>
      <c r="J76">
        <v>3</v>
      </c>
      <c r="K76">
        <v>200</v>
      </c>
      <c r="L76">
        <v>600</v>
      </c>
      <c r="M76">
        <v>54</v>
      </c>
      <c r="N76">
        <v>546</v>
      </c>
    </row>
    <row r="77" spans="1:14" x14ac:dyDescent="0.25">
      <c r="A77">
        <v>520</v>
      </c>
      <c r="B77">
        <v>45843</v>
      </c>
      <c r="C77" t="s">
        <v>14</v>
      </c>
      <c r="D77" t="s">
        <v>15</v>
      </c>
      <c r="E77" t="s">
        <v>16</v>
      </c>
      <c r="F77">
        <v>62.29</v>
      </c>
      <c r="G77" t="s">
        <v>23</v>
      </c>
      <c r="H77" t="s">
        <v>27</v>
      </c>
      <c r="I77" t="s">
        <v>19</v>
      </c>
      <c r="J77">
        <v>1</v>
      </c>
      <c r="K77">
        <v>800</v>
      </c>
      <c r="L77">
        <v>800</v>
      </c>
      <c r="M77">
        <v>120</v>
      </c>
      <c r="N77">
        <v>680</v>
      </c>
    </row>
    <row r="78" spans="1:14" x14ac:dyDescent="0.25">
      <c r="H78" t="s">
        <v>39</v>
      </c>
      <c r="M78">
        <v>0</v>
      </c>
      <c r="N78">
        <v>0</v>
      </c>
    </row>
    <row r="79" spans="1:14" x14ac:dyDescent="0.25">
      <c r="A79">
        <v>522</v>
      </c>
      <c r="B79">
        <v>45769</v>
      </c>
      <c r="C79" t="s">
        <v>20</v>
      </c>
      <c r="D79" t="s">
        <v>21</v>
      </c>
      <c r="E79" t="s">
        <v>16</v>
      </c>
      <c r="F79">
        <v>46.75</v>
      </c>
      <c r="G79" t="s">
        <v>35</v>
      </c>
      <c r="H79" t="s">
        <v>42</v>
      </c>
      <c r="I79" t="s">
        <v>32</v>
      </c>
      <c r="J79">
        <v>4</v>
      </c>
      <c r="K79">
        <v>50</v>
      </c>
      <c r="L79">
        <v>200</v>
      </c>
      <c r="M79">
        <v>20</v>
      </c>
      <c r="N79">
        <v>180</v>
      </c>
    </row>
    <row r="80" spans="1:14" x14ac:dyDescent="0.25">
      <c r="A80">
        <v>523</v>
      </c>
      <c r="B80">
        <v>45802</v>
      </c>
      <c r="C80" t="s">
        <v>25</v>
      </c>
      <c r="D80" t="s">
        <v>26</v>
      </c>
      <c r="E80" t="s">
        <v>16</v>
      </c>
      <c r="F80">
        <v>32.03</v>
      </c>
      <c r="G80" t="s">
        <v>17</v>
      </c>
      <c r="H80" t="s">
        <v>18</v>
      </c>
      <c r="I80" t="s">
        <v>19</v>
      </c>
      <c r="J80">
        <v>4</v>
      </c>
      <c r="K80">
        <v>200</v>
      </c>
      <c r="L80">
        <v>800</v>
      </c>
      <c r="M80">
        <v>112.00000000000001</v>
      </c>
      <c r="N80">
        <v>688</v>
      </c>
    </row>
    <row r="81" spans="1:14" x14ac:dyDescent="0.25">
      <c r="A81">
        <v>524</v>
      </c>
      <c r="B81">
        <v>45959</v>
      </c>
      <c r="C81" t="s">
        <v>28</v>
      </c>
      <c r="D81" t="s">
        <v>29</v>
      </c>
      <c r="E81" t="s">
        <v>16</v>
      </c>
      <c r="F81">
        <v>20.29</v>
      </c>
      <c r="G81" t="s">
        <v>17</v>
      </c>
      <c r="H81" t="s">
        <v>45</v>
      </c>
      <c r="I81" t="s">
        <v>19</v>
      </c>
      <c r="J81">
        <v>3</v>
      </c>
      <c r="K81">
        <v>200</v>
      </c>
      <c r="L81">
        <v>600</v>
      </c>
      <c r="M81">
        <v>30</v>
      </c>
      <c r="N81">
        <v>570</v>
      </c>
    </row>
    <row r="82" spans="1:14" x14ac:dyDescent="0.25">
      <c r="A82">
        <v>525</v>
      </c>
      <c r="B82">
        <v>45793</v>
      </c>
      <c r="C82" t="s">
        <v>14</v>
      </c>
      <c r="D82" t="s">
        <v>15</v>
      </c>
      <c r="E82" t="s">
        <v>16</v>
      </c>
      <c r="F82">
        <v>25.07</v>
      </c>
      <c r="G82" t="s">
        <v>35</v>
      </c>
      <c r="H82" t="s">
        <v>45</v>
      </c>
      <c r="I82" t="s">
        <v>32</v>
      </c>
      <c r="J82">
        <v>3</v>
      </c>
      <c r="K82">
        <v>50</v>
      </c>
      <c r="L82">
        <v>150</v>
      </c>
      <c r="M82">
        <v>10.500000000000002</v>
      </c>
      <c r="N82">
        <v>139.5</v>
      </c>
    </row>
    <row r="83" spans="1:14" x14ac:dyDescent="0.25">
      <c r="A83">
        <v>526</v>
      </c>
      <c r="B83">
        <v>45701</v>
      </c>
      <c r="C83" t="s">
        <v>20</v>
      </c>
      <c r="D83" t="s">
        <v>21</v>
      </c>
      <c r="E83" t="s">
        <v>16</v>
      </c>
      <c r="F83">
        <v>45.47</v>
      </c>
      <c r="G83" t="s">
        <v>35</v>
      </c>
      <c r="H83" t="s">
        <v>43</v>
      </c>
      <c r="I83" t="s">
        <v>32</v>
      </c>
      <c r="J83">
        <v>2</v>
      </c>
      <c r="K83">
        <v>50</v>
      </c>
      <c r="L83">
        <v>100</v>
      </c>
      <c r="M83">
        <v>10</v>
      </c>
      <c r="N83">
        <v>90</v>
      </c>
    </row>
    <row r="84" spans="1:14" x14ac:dyDescent="0.25">
      <c r="A84">
        <v>527</v>
      </c>
      <c r="B84">
        <v>45726</v>
      </c>
      <c r="C84" t="s">
        <v>25</v>
      </c>
      <c r="D84" t="s">
        <v>26</v>
      </c>
      <c r="E84" t="s">
        <v>16</v>
      </c>
      <c r="F84">
        <v>70.72</v>
      </c>
      <c r="G84" t="s">
        <v>30</v>
      </c>
      <c r="H84" t="s">
        <v>38</v>
      </c>
      <c r="I84" t="s">
        <v>32</v>
      </c>
      <c r="J84">
        <v>5</v>
      </c>
      <c r="K84">
        <v>35</v>
      </c>
      <c r="L84">
        <v>175</v>
      </c>
      <c r="M84">
        <v>0</v>
      </c>
      <c r="N84">
        <v>175</v>
      </c>
    </row>
    <row r="85" spans="1:14" x14ac:dyDescent="0.25">
      <c r="A85">
        <v>528</v>
      </c>
      <c r="B85">
        <v>45959</v>
      </c>
      <c r="C85" t="s">
        <v>28</v>
      </c>
      <c r="D85" t="s">
        <v>29</v>
      </c>
      <c r="E85" t="s">
        <v>16</v>
      </c>
      <c r="F85">
        <v>42.01</v>
      </c>
      <c r="G85" t="s">
        <v>17</v>
      </c>
      <c r="H85" t="s">
        <v>18</v>
      </c>
      <c r="I85" t="s">
        <v>19</v>
      </c>
      <c r="J85">
        <v>2</v>
      </c>
      <c r="K85">
        <v>200</v>
      </c>
      <c r="L85">
        <v>400</v>
      </c>
      <c r="M85">
        <v>12</v>
      </c>
      <c r="N85">
        <v>388</v>
      </c>
    </row>
    <row r="86" spans="1:14" x14ac:dyDescent="0.25">
      <c r="A86">
        <v>529</v>
      </c>
      <c r="B86">
        <v>45921</v>
      </c>
      <c r="C86" t="s">
        <v>14</v>
      </c>
      <c r="D86" t="s">
        <v>15</v>
      </c>
      <c r="E86" t="s">
        <v>16</v>
      </c>
      <c r="F86">
        <v>46.96</v>
      </c>
      <c r="G86" t="s">
        <v>33</v>
      </c>
      <c r="H86" t="s">
        <v>34</v>
      </c>
      <c r="I86" t="s">
        <v>32</v>
      </c>
      <c r="J86">
        <v>2</v>
      </c>
      <c r="K86">
        <v>20</v>
      </c>
      <c r="L86">
        <v>40</v>
      </c>
      <c r="M86">
        <v>2.4</v>
      </c>
      <c r="N86">
        <v>37.6</v>
      </c>
    </row>
    <row r="87" spans="1:14" x14ac:dyDescent="0.25">
      <c r="A87">
        <v>530</v>
      </c>
      <c r="B87">
        <v>45823</v>
      </c>
      <c r="C87" t="s">
        <v>20</v>
      </c>
      <c r="D87" t="s">
        <v>21</v>
      </c>
      <c r="E87" t="s">
        <v>16</v>
      </c>
      <c r="F87">
        <v>43.52</v>
      </c>
      <c r="G87" t="s">
        <v>30</v>
      </c>
      <c r="H87" t="s">
        <v>27</v>
      </c>
      <c r="I87" t="s">
        <v>32</v>
      </c>
      <c r="J87">
        <v>4</v>
      </c>
      <c r="K87">
        <v>35</v>
      </c>
      <c r="L87">
        <v>140</v>
      </c>
      <c r="M87">
        <v>19.600000000000001</v>
      </c>
      <c r="N87">
        <v>120.4</v>
      </c>
    </row>
    <row r="88" spans="1:14" x14ac:dyDescent="0.25">
      <c r="A88">
        <v>531</v>
      </c>
      <c r="B88">
        <v>45944</v>
      </c>
      <c r="C88" t="s">
        <v>25</v>
      </c>
      <c r="D88" t="s">
        <v>26</v>
      </c>
      <c r="E88" t="s">
        <v>16</v>
      </c>
      <c r="F88">
        <v>55.44</v>
      </c>
      <c r="G88" t="s">
        <v>33</v>
      </c>
      <c r="H88" t="s">
        <v>46</v>
      </c>
      <c r="I88" t="s">
        <v>32</v>
      </c>
      <c r="J88">
        <v>4</v>
      </c>
      <c r="K88">
        <v>20</v>
      </c>
      <c r="L88">
        <v>80</v>
      </c>
      <c r="M88">
        <v>4</v>
      </c>
      <c r="N88">
        <v>76</v>
      </c>
    </row>
    <row r="89" spans="1:14" x14ac:dyDescent="0.25">
      <c r="A89">
        <v>532</v>
      </c>
      <c r="B89">
        <v>45681</v>
      </c>
      <c r="C89" t="s">
        <v>28</v>
      </c>
      <c r="D89" t="s">
        <v>29</v>
      </c>
      <c r="E89" t="s">
        <v>16</v>
      </c>
      <c r="F89">
        <v>22.19</v>
      </c>
      <c r="G89" t="s">
        <v>17</v>
      </c>
      <c r="H89" t="s">
        <v>38</v>
      </c>
      <c r="I89" t="s">
        <v>19</v>
      </c>
      <c r="J89">
        <v>5</v>
      </c>
      <c r="K89">
        <v>200</v>
      </c>
      <c r="L89">
        <v>1000</v>
      </c>
      <c r="M89">
        <v>110</v>
      </c>
      <c r="N89">
        <v>890</v>
      </c>
    </row>
    <row r="90" spans="1:14" x14ac:dyDescent="0.25">
      <c r="H90" t="s">
        <v>39</v>
      </c>
      <c r="M90">
        <v>0</v>
      </c>
      <c r="N90">
        <v>0</v>
      </c>
    </row>
    <row r="91" spans="1:14" x14ac:dyDescent="0.25">
      <c r="A91">
        <v>534</v>
      </c>
      <c r="B91">
        <v>45669</v>
      </c>
      <c r="C91" t="s">
        <v>14</v>
      </c>
      <c r="D91" t="s">
        <v>15</v>
      </c>
      <c r="E91" t="s">
        <v>16</v>
      </c>
      <c r="F91">
        <v>33.39</v>
      </c>
      <c r="G91" t="s">
        <v>23</v>
      </c>
      <c r="H91" t="s">
        <v>38</v>
      </c>
      <c r="I91" t="s">
        <v>19</v>
      </c>
      <c r="J91">
        <v>1</v>
      </c>
      <c r="K91">
        <v>800</v>
      </c>
      <c r="L91">
        <v>800</v>
      </c>
      <c r="M91">
        <v>224.00000000000003</v>
      </c>
      <c r="N91">
        <v>576</v>
      </c>
    </row>
    <row r="92" spans="1:14" x14ac:dyDescent="0.25">
      <c r="A92">
        <v>535</v>
      </c>
      <c r="B92">
        <v>45711</v>
      </c>
      <c r="C92" t="s">
        <v>20</v>
      </c>
      <c r="D92" t="s">
        <v>21</v>
      </c>
      <c r="E92" t="s">
        <v>22</v>
      </c>
      <c r="F92">
        <v>32.79</v>
      </c>
      <c r="G92" t="s">
        <v>17</v>
      </c>
      <c r="H92" t="s">
        <v>46</v>
      </c>
      <c r="I92" t="s">
        <v>19</v>
      </c>
      <c r="J92">
        <v>1</v>
      </c>
      <c r="K92">
        <v>200</v>
      </c>
      <c r="L92">
        <v>200</v>
      </c>
      <c r="M92">
        <v>2</v>
      </c>
      <c r="N92">
        <v>198</v>
      </c>
    </row>
    <row r="93" spans="1:14" x14ac:dyDescent="0.25">
      <c r="A93">
        <v>536</v>
      </c>
      <c r="B93">
        <v>45669</v>
      </c>
      <c r="C93" t="s">
        <v>25</v>
      </c>
      <c r="D93" t="s">
        <v>26</v>
      </c>
      <c r="E93" t="s">
        <v>16</v>
      </c>
      <c r="F93">
        <v>41.56</v>
      </c>
      <c r="G93" t="s">
        <v>33</v>
      </c>
      <c r="H93" t="s">
        <v>34</v>
      </c>
      <c r="I93" t="s">
        <v>32</v>
      </c>
      <c r="J93">
        <v>4</v>
      </c>
      <c r="K93">
        <v>20</v>
      </c>
      <c r="L93">
        <v>80</v>
      </c>
      <c r="M93">
        <v>8</v>
      </c>
      <c r="N93">
        <v>72</v>
      </c>
    </row>
    <row r="94" spans="1:14" x14ac:dyDescent="0.25">
      <c r="A94">
        <v>537</v>
      </c>
      <c r="B94">
        <v>45863</v>
      </c>
      <c r="C94" t="s">
        <v>28</v>
      </c>
      <c r="D94" t="s">
        <v>29</v>
      </c>
      <c r="E94" t="s">
        <v>16</v>
      </c>
      <c r="F94">
        <v>43.92</v>
      </c>
      <c r="G94" t="s">
        <v>33</v>
      </c>
      <c r="H94" t="s">
        <v>27</v>
      </c>
      <c r="I94" t="s">
        <v>32</v>
      </c>
      <c r="J94">
        <v>4</v>
      </c>
      <c r="K94">
        <v>20</v>
      </c>
      <c r="L94">
        <v>80</v>
      </c>
      <c r="M94">
        <v>3.2</v>
      </c>
      <c r="N94">
        <v>76.8</v>
      </c>
    </row>
    <row r="95" spans="1:14" x14ac:dyDescent="0.25">
      <c r="A95">
        <v>538</v>
      </c>
      <c r="B95">
        <v>45961</v>
      </c>
      <c r="C95" t="s">
        <v>14</v>
      </c>
      <c r="D95" t="s">
        <v>15</v>
      </c>
      <c r="E95" t="s">
        <v>16</v>
      </c>
      <c r="F95">
        <v>25.59</v>
      </c>
      <c r="G95" t="s">
        <v>35</v>
      </c>
      <c r="H95" t="s">
        <v>34</v>
      </c>
      <c r="I95" t="s">
        <v>32</v>
      </c>
      <c r="J95">
        <v>1</v>
      </c>
      <c r="K95">
        <v>50</v>
      </c>
      <c r="L95">
        <v>50</v>
      </c>
      <c r="M95">
        <v>0.5</v>
      </c>
      <c r="N95">
        <v>49.5</v>
      </c>
    </row>
    <row r="96" spans="1:14" x14ac:dyDescent="0.25">
      <c r="A96">
        <v>539</v>
      </c>
      <c r="B96">
        <v>45678</v>
      </c>
      <c r="C96" t="s">
        <v>20</v>
      </c>
      <c r="D96" t="s">
        <v>21</v>
      </c>
      <c r="E96" t="s">
        <v>16</v>
      </c>
      <c r="F96">
        <v>60.8</v>
      </c>
      <c r="G96" t="s">
        <v>33</v>
      </c>
      <c r="H96" t="s">
        <v>47</v>
      </c>
      <c r="I96" t="s">
        <v>32</v>
      </c>
      <c r="J96">
        <v>5</v>
      </c>
      <c r="K96">
        <v>20</v>
      </c>
      <c r="L96">
        <v>100</v>
      </c>
      <c r="M96">
        <v>13</v>
      </c>
      <c r="N96">
        <v>87</v>
      </c>
    </row>
    <row r="97" spans="1:14" x14ac:dyDescent="0.25">
      <c r="A97">
        <v>540</v>
      </c>
      <c r="B97">
        <v>45676</v>
      </c>
      <c r="C97" t="s">
        <v>25</v>
      </c>
      <c r="D97" t="s">
        <v>26</v>
      </c>
      <c r="E97" t="s">
        <v>22</v>
      </c>
      <c r="F97">
        <v>47.4</v>
      </c>
      <c r="G97" t="s">
        <v>35</v>
      </c>
      <c r="H97" t="s">
        <v>34</v>
      </c>
      <c r="I97" t="s">
        <v>32</v>
      </c>
      <c r="J97">
        <v>3</v>
      </c>
      <c r="K97">
        <v>50</v>
      </c>
      <c r="L97">
        <v>150</v>
      </c>
      <c r="M97">
        <v>9</v>
      </c>
      <c r="N97">
        <v>141</v>
      </c>
    </row>
    <row r="98" spans="1:14" x14ac:dyDescent="0.25">
      <c r="A98">
        <v>541</v>
      </c>
      <c r="B98">
        <v>45779</v>
      </c>
      <c r="C98" t="s">
        <v>28</v>
      </c>
      <c r="D98" t="s">
        <v>29</v>
      </c>
      <c r="E98" t="s">
        <v>16</v>
      </c>
      <c r="F98">
        <v>26.89</v>
      </c>
      <c r="G98" t="s">
        <v>35</v>
      </c>
      <c r="H98" t="s">
        <v>18</v>
      </c>
      <c r="I98" t="s">
        <v>32</v>
      </c>
      <c r="J98">
        <v>4</v>
      </c>
      <c r="K98">
        <v>50</v>
      </c>
      <c r="L98">
        <v>200</v>
      </c>
      <c r="M98">
        <v>24</v>
      </c>
      <c r="N98">
        <v>176</v>
      </c>
    </row>
    <row r="99" spans="1:14" x14ac:dyDescent="0.25">
      <c r="A99">
        <v>542</v>
      </c>
      <c r="B99">
        <v>45807</v>
      </c>
      <c r="C99" t="s">
        <v>14</v>
      </c>
      <c r="D99" t="s">
        <v>15</v>
      </c>
      <c r="E99" t="s">
        <v>16</v>
      </c>
      <c r="F99">
        <v>45.93</v>
      </c>
      <c r="G99" t="s">
        <v>30</v>
      </c>
      <c r="H99" t="s">
        <v>34</v>
      </c>
      <c r="I99" t="s">
        <v>32</v>
      </c>
      <c r="J99">
        <v>1</v>
      </c>
      <c r="K99">
        <v>35</v>
      </c>
      <c r="L99">
        <v>35</v>
      </c>
      <c r="M99">
        <v>0.70000000000000007</v>
      </c>
      <c r="N99">
        <v>34.299999999999997</v>
      </c>
    </row>
    <row r="100" spans="1:14" x14ac:dyDescent="0.25">
      <c r="A100">
        <v>543</v>
      </c>
      <c r="B100">
        <v>45802</v>
      </c>
      <c r="C100" t="s">
        <v>20</v>
      </c>
      <c r="D100" t="s">
        <v>21</v>
      </c>
      <c r="E100" t="s">
        <v>16</v>
      </c>
      <c r="F100">
        <v>38.21</v>
      </c>
      <c r="G100" t="s">
        <v>23</v>
      </c>
      <c r="H100" t="s">
        <v>27</v>
      </c>
      <c r="I100" t="s">
        <v>19</v>
      </c>
      <c r="J100">
        <v>1</v>
      </c>
      <c r="K100">
        <v>800</v>
      </c>
      <c r="L100">
        <v>800</v>
      </c>
      <c r="M100">
        <v>112.00000000000001</v>
      </c>
      <c r="N100">
        <v>688</v>
      </c>
    </row>
    <row r="101" spans="1:14" x14ac:dyDescent="0.25">
      <c r="A101">
        <v>544</v>
      </c>
      <c r="B101">
        <v>45816</v>
      </c>
      <c r="C101" t="s">
        <v>25</v>
      </c>
      <c r="D101" t="s">
        <v>26</v>
      </c>
      <c r="E101" t="s">
        <v>16</v>
      </c>
      <c r="F101">
        <v>70.03</v>
      </c>
      <c r="G101" t="s">
        <v>30</v>
      </c>
      <c r="H101" t="s">
        <v>43</v>
      </c>
      <c r="I101" t="s">
        <v>32</v>
      </c>
      <c r="J101">
        <v>5</v>
      </c>
      <c r="K101">
        <v>35</v>
      </c>
      <c r="L101">
        <v>175</v>
      </c>
      <c r="M101">
        <v>3.5</v>
      </c>
      <c r="N101">
        <v>171.5</v>
      </c>
    </row>
    <row r="102" spans="1:14" x14ac:dyDescent="0.25">
      <c r="A102">
        <v>545</v>
      </c>
      <c r="B102">
        <v>45669</v>
      </c>
      <c r="C102" t="s">
        <v>28</v>
      </c>
      <c r="D102" t="s">
        <v>29</v>
      </c>
      <c r="E102" t="s">
        <v>16</v>
      </c>
      <c r="F102">
        <v>52.71</v>
      </c>
      <c r="G102" t="s">
        <v>17</v>
      </c>
      <c r="H102" t="s">
        <v>43</v>
      </c>
      <c r="I102" t="s">
        <v>19</v>
      </c>
      <c r="J102">
        <v>2</v>
      </c>
      <c r="K102">
        <v>200</v>
      </c>
      <c r="L102">
        <v>400</v>
      </c>
      <c r="M102">
        <v>60</v>
      </c>
      <c r="N102">
        <v>340</v>
      </c>
    </row>
    <row r="103" spans="1:14" x14ac:dyDescent="0.25">
      <c r="H103" t="s">
        <v>39</v>
      </c>
      <c r="M103">
        <v>0</v>
      </c>
      <c r="N103">
        <v>0</v>
      </c>
    </row>
    <row r="104" spans="1:14" x14ac:dyDescent="0.25">
      <c r="A104">
        <v>547</v>
      </c>
      <c r="B104">
        <v>45690</v>
      </c>
      <c r="C104" t="s">
        <v>14</v>
      </c>
      <c r="D104" t="s">
        <v>15</v>
      </c>
      <c r="E104" t="s">
        <v>16</v>
      </c>
      <c r="F104">
        <v>48.18</v>
      </c>
      <c r="G104" t="s">
        <v>17</v>
      </c>
      <c r="H104" t="s">
        <v>46</v>
      </c>
      <c r="I104" t="s">
        <v>19</v>
      </c>
      <c r="J104">
        <v>2</v>
      </c>
      <c r="K104">
        <v>200</v>
      </c>
      <c r="L104">
        <v>400</v>
      </c>
      <c r="M104">
        <v>48</v>
      </c>
      <c r="N104">
        <v>352</v>
      </c>
    </row>
    <row r="105" spans="1:14" x14ac:dyDescent="0.25">
      <c r="A105">
        <v>548</v>
      </c>
      <c r="B105">
        <v>45832</v>
      </c>
      <c r="C105" t="s">
        <v>20</v>
      </c>
      <c r="D105" t="s">
        <v>21</v>
      </c>
      <c r="E105" t="s">
        <v>16</v>
      </c>
      <c r="F105">
        <v>64.95</v>
      </c>
      <c r="G105" t="s">
        <v>30</v>
      </c>
      <c r="H105" t="s">
        <v>43</v>
      </c>
      <c r="I105" t="s">
        <v>32</v>
      </c>
      <c r="J105">
        <v>3</v>
      </c>
      <c r="K105">
        <v>35</v>
      </c>
      <c r="L105">
        <v>105</v>
      </c>
      <c r="M105">
        <v>8.4</v>
      </c>
      <c r="N105">
        <v>96.6</v>
      </c>
    </row>
    <row r="106" spans="1:14" x14ac:dyDescent="0.25">
      <c r="A106">
        <v>549</v>
      </c>
      <c r="B106">
        <v>45856</v>
      </c>
      <c r="C106" t="s">
        <v>25</v>
      </c>
      <c r="D106" t="s">
        <v>26</v>
      </c>
      <c r="E106" t="s">
        <v>16</v>
      </c>
      <c r="F106">
        <v>53.48</v>
      </c>
      <c r="G106" t="s">
        <v>30</v>
      </c>
      <c r="H106" t="s">
        <v>34</v>
      </c>
      <c r="I106" t="s">
        <v>32</v>
      </c>
      <c r="J106">
        <v>3</v>
      </c>
      <c r="K106">
        <v>35</v>
      </c>
      <c r="L106">
        <v>105</v>
      </c>
      <c r="M106">
        <v>3.15</v>
      </c>
      <c r="N106">
        <v>101.85</v>
      </c>
    </row>
    <row r="107" spans="1:14" x14ac:dyDescent="0.25">
      <c r="A107">
        <v>550</v>
      </c>
      <c r="B107">
        <v>45705</v>
      </c>
      <c r="C107" t="s">
        <v>28</v>
      </c>
      <c r="D107" t="s">
        <v>29</v>
      </c>
      <c r="E107" t="s">
        <v>16</v>
      </c>
      <c r="F107">
        <v>69.11</v>
      </c>
      <c r="G107" t="s">
        <v>30</v>
      </c>
      <c r="H107" t="s">
        <v>43</v>
      </c>
      <c r="I107" t="s">
        <v>32</v>
      </c>
      <c r="J107">
        <v>5</v>
      </c>
      <c r="K107">
        <v>35</v>
      </c>
      <c r="L107">
        <v>175</v>
      </c>
      <c r="M107">
        <v>24.500000000000004</v>
      </c>
      <c r="N107">
        <v>150.5</v>
      </c>
    </row>
    <row r="108" spans="1:14" x14ac:dyDescent="0.25">
      <c r="A108">
        <v>551</v>
      </c>
      <c r="B108">
        <v>45733</v>
      </c>
      <c r="C108" t="s">
        <v>14</v>
      </c>
      <c r="D108" t="s">
        <v>15</v>
      </c>
      <c r="E108" t="s">
        <v>16</v>
      </c>
      <c r="F108">
        <v>55.06</v>
      </c>
      <c r="G108" t="s">
        <v>33</v>
      </c>
      <c r="H108" t="s">
        <v>27</v>
      </c>
      <c r="I108" t="s">
        <v>32</v>
      </c>
      <c r="J108">
        <v>3</v>
      </c>
      <c r="K108">
        <v>20</v>
      </c>
      <c r="L108">
        <v>60</v>
      </c>
      <c r="M108">
        <v>0.6</v>
      </c>
      <c r="N108">
        <v>59.4</v>
      </c>
    </row>
    <row r="109" spans="1:14" x14ac:dyDescent="0.25">
      <c r="A109">
        <v>552</v>
      </c>
      <c r="B109">
        <v>45809</v>
      </c>
      <c r="C109" t="s">
        <v>20</v>
      </c>
      <c r="D109" t="s">
        <v>21</v>
      </c>
      <c r="E109" t="s">
        <v>16</v>
      </c>
      <c r="F109">
        <v>52.56</v>
      </c>
      <c r="G109" t="s">
        <v>23</v>
      </c>
      <c r="H109" t="s">
        <v>45</v>
      </c>
      <c r="I109" t="s">
        <v>19</v>
      </c>
      <c r="J109">
        <v>1</v>
      </c>
      <c r="K109">
        <v>800</v>
      </c>
      <c r="L109">
        <v>800</v>
      </c>
      <c r="M109">
        <v>48</v>
      </c>
      <c r="N109">
        <v>752</v>
      </c>
    </row>
    <row r="110" spans="1:14" x14ac:dyDescent="0.25">
      <c r="A110">
        <v>553</v>
      </c>
      <c r="B110">
        <v>45832</v>
      </c>
      <c r="C110" t="s">
        <v>25</v>
      </c>
      <c r="D110" t="s">
        <v>26</v>
      </c>
      <c r="E110" t="s">
        <v>16</v>
      </c>
      <c r="F110">
        <v>23.89</v>
      </c>
      <c r="G110" t="s">
        <v>17</v>
      </c>
      <c r="H110" t="s">
        <v>38</v>
      </c>
      <c r="I110" t="s">
        <v>19</v>
      </c>
      <c r="J110">
        <v>2</v>
      </c>
      <c r="K110">
        <v>200</v>
      </c>
      <c r="L110">
        <v>400</v>
      </c>
      <c r="M110">
        <v>36</v>
      </c>
      <c r="N110">
        <v>364</v>
      </c>
    </row>
    <row r="111" spans="1:14" x14ac:dyDescent="0.25">
      <c r="A111">
        <v>554</v>
      </c>
      <c r="B111">
        <v>45809</v>
      </c>
      <c r="C111" t="s">
        <v>28</v>
      </c>
      <c r="D111" t="s">
        <v>29</v>
      </c>
      <c r="E111" t="s">
        <v>16</v>
      </c>
      <c r="F111">
        <v>33.74</v>
      </c>
      <c r="G111" t="s">
        <v>17</v>
      </c>
      <c r="H111" t="s">
        <v>18</v>
      </c>
      <c r="I111" t="s">
        <v>19</v>
      </c>
      <c r="J111">
        <v>1</v>
      </c>
      <c r="K111">
        <v>200</v>
      </c>
      <c r="L111">
        <v>200</v>
      </c>
      <c r="M111">
        <v>10</v>
      </c>
      <c r="N111">
        <v>190</v>
      </c>
    </row>
    <row r="112" spans="1:14" x14ac:dyDescent="0.25">
      <c r="A112">
        <v>555</v>
      </c>
      <c r="B112">
        <v>45722</v>
      </c>
      <c r="C112" t="s">
        <v>14</v>
      </c>
      <c r="D112" t="s">
        <v>15</v>
      </c>
      <c r="E112" t="s">
        <v>22</v>
      </c>
      <c r="F112">
        <v>58.56</v>
      </c>
      <c r="G112" t="s">
        <v>23</v>
      </c>
      <c r="H112" t="s">
        <v>18</v>
      </c>
      <c r="I112" t="s">
        <v>19</v>
      </c>
      <c r="J112">
        <v>1</v>
      </c>
      <c r="K112">
        <v>800</v>
      </c>
      <c r="L112">
        <v>800</v>
      </c>
      <c r="M112">
        <v>104</v>
      </c>
      <c r="N112">
        <v>696</v>
      </c>
    </row>
    <row r="113" spans="1:14" x14ac:dyDescent="0.25">
      <c r="A113">
        <v>556</v>
      </c>
      <c r="B113">
        <v>45787</v>
      </c>
      <c r="C113" t="s">
        <v>20</v>
      </c>
      <c r="D113" t="s">
        <v>21</v>
      </c>
      <c r="E113" t="s">
        <v>16</v>
      </c>
      <c r="F113">
        <v>41.95</v>
      </c>
      <c r="G113" t="s">
        <v>30</v>
      </c>
      <c r="H113" t="s">
        <v>46</v>
      </c>
      <c r="I113" t="s">
        <v>32</v>
      </c>
      <c r="J113">
        <v>3</v>
      </c>
      <c r="K113">
        <v>35</v>
      </c>
      <c r="L113">
        <v>105</v>
      </c>
      <c r="M113">
        <v>2.1</v>
      </c>
      <c r="N113">
        <v>102.9</v>
      </c>
    </row>
    <row r="114" spans="1:14" x14ac:dyDescent="0.25">
      <c r="A114">
        <v>557</v>
      </c>
      <c r="B114">
        <v>45953</v>
      </c>
      <c r="C114" t="s">
        <v>25</v>
      </c>
      <c r="D114" t="s">
        <v>26</v>
      </c>
      <c r="E114" t="s">
        <v>16</v>
      </c>
      <c r="F114">
        <v>67.510000000000005</v>
      </c>
      <c r="G114" t="s">
        <v>33</v>
      </c>
      <c r="H114" t="s">
        <v>47</v>
      </c>
      <c r="I114" t="s">
        <v>32</v>
      </c>
      <c r="J114">
        <v>4</v>
      </c>
      <c r="K114">
        <v>20</v>
      </c>
      <c r="L114">
        <v>80</v>
      </c>
      <c r="M114">
        <v>10.4</v>
      </c>
      <c r="N114">
        <v>69.599999999999994</v>
      </c>
    </row>
    <row r="115" spans="1:14" x14ac:dyDescent="0.25">
      <c r="A115">
        <v>558</v>
      </c>
      <c r="B115">
        <v>45793</v>
      </c>
      <c r="C115" t="s">
        <v>28</v>
      </c>
      <c r="D115" t="s">
        <v>29</v>
      </c>
      <c r="E115" t="s">
        <v>16</v>
      </c>
      <c r="F115">
        <v>22.76</v>
      </c>
      <c r="G115" t="s">
        <v>17</v>
      </c>
      <c r="H115" t="s">
        <v>45</v>
      </c>
      <c r="I115" t="s">
        <v>19</v>
      </c>
      <c r="J115">
        <v>4</v>
      </c>
      <c r="K115">
        <v>200</v>
      </c>
      <c r="L115">
        <v>800</v>
      </c>
      <c r="M115">
        <v>24</v>
      </c>
      <c r="N115">
        <v>776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7455-2415-4295-808D-AB9D2C1DC10E}">
  <dimension ref="B3:G9"/>
  <sheetViews>
    <sheetView workbookViewId="0">
      <selection activeCell="B6" sqref="B6"/>
    </sheetView>
  </sheetViews>
  <sheetFormatPr defaultRowHeight="15" x14ac:dyDescent="0.25"/>
  <cols>
    <col min="7" max="7" width="11" customWidth="1"/>
  </cols>
  <sheetData>
    <row r="3" spans="2:7" x14ac:dyDescent="0.25">
      <c r="B3" s="12" t="s">
        <v>48</v>
      </c>
      <c r="C3" s="12"/>
      <c r="D3" s="12"/>
      <c r="E3" s="12"/>
      <c r="F3" s="12"/>
      <c r="G3" s="12"/>
    </row>
    <row r="4" spans="2:7" x14ac:dyDescent="0.25">
      <c r="B4" t="s">
        <v>49</v>
      </c>
    </row>
    <row r="5" spans="2:7" x14ac:dyDescent="0.25">
      <c r="B5" t="s">
        <v>50</v>
      </c>
    </row>
    <row r="6" spans="2:7" x14ac:dyDescent="0.25">
      <c r="B6" t="s">
        <v>51</v>
      </c>
    </row>
    <row r="7" spans="2:7" x14ac:dyDescent="0.25">
      <c r="B7" t="s">
        <v>52</v>
      </c>
    </row>
    <row r="8" spans="2:7" x14ac:dyDescent="0.25">
      <c r="B8" t="s">
        <v>53</v>
      </c>
    </row>
    <row r="9" spans="2:7" x14ac:dyDescent="0.25">
      <c r="B9" t="s">
        <v>54</v>
      </c>
    </row>
  </sheetData>
  <mergeCells count="1">
    <mergeCell ref="B3: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0C2E62-80CC-4DE8-874D-7685250E2C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Detail1</vt:lpstr>
      <vt:lpstr>Sheet1</vt:lpstr>
      <vt:lpstr>Table2</vt:lpstr>
      <vt:lpstr>Row Data</vt:lpstr>
      <vt:lpstr>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إبراهيم ك</dc:creator>
  <cp:lastModifiedBy>عيسى حمد الرشيدي</cp:lastModifiedBy>
  <dcterms:created xsi:type="dcterms:W3CDTF">2026-01-03T11:31:29Z</dcterms:created>
  <dcterms:modified xsi:type="dcterms:W3CDTF">2026-07-23T22:12:49Z</dcterms:modified>
</cp:coreProperties>
</file>